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frelotraders-my.sharepoint.com/personal/joylorna_frelotraders_onmicrosoft_com/Documents/Documents/11 portfolio projects/project 4/"/>
    </mc:Choice>
  </mc:AlternateContent>
  <xr:revisionPtr revIDLastSave="4446" documentId="8_{0699F996-A9AF-4300-80FB-2AFB5597EF4E}" xr6:coauthVersionLast="47" xr6:coauthVersionMax="47" xr10:uidLastSave="{D246B534-204F-4F62-A908-63A370839D18}"/>
  <bookViews>
    <workbookView xWindow="-110" yWindow="-110" windowWidth="19420" windowHeight="10300" firstSheet="6" activeTab="6" xr2:uid="{00000000-000D-0000-FFFF-FFFF00000000}"/>
  </bookViews>
  <sheets>
    <sheet name="00_Cover" sheetId="1" r:id="rId1"/>
    <sheet name="01_Executive_Summary" sheetId="17" r:id="rId2"/>
    <sheet name="02_Workbook_Index" sheetId="18" r:id="rId3"/>
    <sheet name="03_Data_Model_And_Architecture" sheetId="19" r:id="rId4"/>
    <sheet name="04_Metric_Dictionary" sheetId="20" r:id="rId5"/>
    <sheet name="05_Validation_Summary" sheetId="21" r:id="rId6"/>
    <sheet name="06_Power_BI_Handoff" sheetId="22" r:id="rId7"/>
    <sheet name="DQ01_Raw_Profile" sheetId="2" r:id="rId8"/>
    <sheet name="DQ02_Row_Reconciliation" sheetId="3" r:id="rId9"/>
    <sheet name="DQ03_Revenue_Reconciliation" sheetId="4" r:id="rId10"/>
    <sheet name="DQ04_Orphan_Key_Check" sheetId="5" r:id="rId11"/>
    <sheet name="DQ05_Cancellation_Profile" sheetId="6" r:id="rId12"/>
    <sheet name="Q01_Monthly_Revenue" sheetId="7" r:id="rId13"/>
    <sheet name="Q02_Top_Customers" sheetId="8" r:id="rId14"/>
    <sheet name="Q03_Product_Category" sheetId="9" r:id="rId15"/>
    <sheet name="Q04_Country_Performance" sheetId="10" r:id="rId16"/>
    <sheet name="Q05_Cancellation_Analysis" sheetId="11" r:id="rId17"/>
    <sheet name="Q06_Running_Revenue" sheetId="12" r:id="rId18"/>
    <sheet name="Q07_Customer_Cohorts" sheetId="13" r:id="rId19"/>
    <sheet name="Q08_Regional_Ranking" sheetId="14" r:id="rId20"/>
    <sheet name="Q09_MoM_Growth" sheetId="15" r:id="rId21"/>
    <sheet name="Q10_Rolling_Revenue" sheetId="16"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17" l="1"/>
  <c r="B18" i="17"/>
  <c r="C17" i="17"/>
  <c r="B17" i="17"/>
  <c r="C16" i="17"/>
  <c r="B16" i="17"/>
  <c r="C15" i="17"/>
  <c r="B15" i="17"/>
  <c r="C11" i="21"/>
  <c r="D8" i="21"/>
  <c r="D9" i="21"/>
  <c r="D10" i="21"/>
  <c r="C8" i="21"/>
  <c r="C9" i="21"/>
  <c r="C10" i="21"/>
  <c r="D7" i="21"/>
  <c r="C7" i="21"/>
  <c r="D6" i="21"/>
  <c r="C6" i="21"/>
  <c r="C8" i="5"/>
  <c r="C9" i="5"/>
  <c r="C10" i="5"/>
  <c r="D8" i="4"/>
  <c r="C8" i="4"/>
  <c r="D8" i="3"/>
  <c r="C8" i="3"/>
  <c r="C22" i="2"/>
  <c r="C23" i="2"/>
  <c r="C24" i="2"/>
  <c r="C25" i="2"/>
</calcChain>
</file>

<file path=xl/sharedStrings.xml><?xml version="1.0" encoding="utf-8"?>
<sst xmlns="http://schemas.openxmlformats.org/spreadsheetml/2006/main" count="1088" uniqueCount="508">
  <si>
    <t>High value</t>
  </si>
  <si>
    <t>Other or uncategorised</t>
  </si>
  <si>
    <t>Bags and storage</t>
  </si>
  <si>
    <t>Home and living</t>
  </si>
  <si>
    <t>Kitchen and dining</t>
  </si>
  <si>
    <t>Lighting and candles</t>
  </si>
  <si>
    <t>Stationery and gifts</t>
  </si>
  <si>
    <t>Christmas and seasonal</t>
  </si>
  <si>
    <t>Jewellery and accessories</t>
  </si>
  <si>
    <t>December</t>
  </si>
  <si>
    <t>2009-12</t>
  </si>
  <si>
    <t>Toys and games</t>
  </si>
  <si>
    <t>January</t>
  </si>
  <si>
    <t>2010-01</t>
  </si>
  <si>
    <t>February</t>
  </si>
  <si>
    <t>2010-02</t>
  </si>
  <si>
    <t>March</t>
  </si>
  <si>
    <t>2010-03</t>
  </si>
  <si>
    <t>April</t>
  </si>
  <si>
    <t>2010-04</t>
  </si>
  <si>
    <t>May</t>
  </si>
  <si>
    <t>2010-05</t>
  </si>
  <si>
    <t>June</t>
  </si>
  <si>
    <t>2010-06</t>
  </si>
  <si>
    <t>July</t>
  </si>
  <si>
    <t>2010-07</t>
  </si>
  <si>
    <t>August</t>
  </si>
  <si>
    <t>2010-08</t>
  </si>
  <si>
    <t>September</t>
  </si>
  <si>
    <t>2010-09</t>
  </si>
  <si>
    <t>October</t>
  </si>
  <si>
    <t>2010-10</t>
  </si>
  <si>
    <t>United Kingdom</t>
  </si>
  <si>
    <t>November</t>
  </si>
  <si>
    <t>2010-11</t>
  </si>
  <si>
    <t>EIRE</t>
  </si>
  <si>
    <t>Eurozone</t>
  </si>
  <si>
    <t>2010-12</t>
  </si>
  <si>
    <t>Netherlands</t>
  </si>
  <si>
    <t>2011-01</t>
  </si>
  <si>
    <t>Germany</t>
  </si>
  <si>
    <t>2011-02</t>
  </si>
  <si>
    <t>France</t>
  </si>
  <si>
    <t>2011-03</t>
  </si>
  <si>
    <t>Australia</t>
  </si>
  <si>
    <t>Rest of World</t>
  </si>
  <si>
    <t>2011-04</t>
  </si>
  <si>
    <t>Spain</t>
  </si>
  <si>
    <t>Norway</t>
  </si>
  <si>
    <t>Other Europe</t>
  </si>
  <si>
    <t>Switzerland</t>
  </si>
  <si>
    <t>2011-05</t>
  </si>
  <si>
    <t>Sweden</t>
  </si>
  <si>
    <t>2011-06</t>
  </si>
  <si>
    <t>Denmark</t>
  </si>
  <si>
    <t>Singapore</t>
  </si>
  <si>
    <t>Belgium</t>
  </si>
  <si>
    <t>2011-07</t>
  </si>
  <si>
    <t>Hong Kong</t>
  </si>
  <si>
    <t>2011-08</t>
  </si>
  <si>
    <t>Portugal</t>
  </si>
  <si>
    <t>2011-09</t>
  </si>
  <si>
    <t>Japan</t>
  </si>
  <si>
    <t>2011-10</t>
  </si>
  <si>
    <t>Channel Islands</t>
  </si>
  <si>
    <t>2011-11</t>
  </si>
  <si>
    <t>Italy</t>
  </si>
  <si>
    <t>2011-12</t>
  </si>
  <si>
    <t>Finland</t>
  </si>
  <si>
    <t>Malta</t>
  </si>
  <si>
    <t>Cyprus</t>
  </si>
  <si>
    <t>Austria</t>
  </si>
  <si>
    <t>USA</t>
  </si>
  <si>
    <t>Greece</t>
  </si>
  <si>
    <t>Poland</t>
  </si>
  <si>
    <t>RSA</t>
  </si>
  <si>
    <t>Israel</t>
  </si>
  <si>
    <t>United Arab Emirates</t>
  </si>
  <si>
    <t>Unspecified</t>
  </si>
  <si>
    <t>Unknown</t>
  </si>
  <si>
    <t>Lithuania</t>
  </si>
  <si>
    <t>Iceland</t>
  </si>
  <si>
    <t>Canada</t>
  </si>
  <si>
    <t>Bahrain</t>
  </si>
  <si>
    <t>Thailand</t>
  </si>
  <si>
    <t>Lebanon</t>
  </si>
  <si>
    <t>Korea</t>
  </si>
  <si>
    <t>Brazil</t>
  </si>
  <si>
    <t>Nigeria</t>
  </si>
  <si>
    <t>Czech Republic</t>
  </si>
  <si>
    <t>European Community</t>
  </si>
  <si>
    <t>Saudi Arabia</t>
  </si>
  <si>
    <t>West Indies</t>
  </si>
  <si>
    <t>Bermuda</t>
  </si>
  <si>
    <t>PROJECT OVERVIEW</t>
  </si>
  <si>
    <t>Purpose</t>
  </si>
  <si>
    <t>Revenue reconciliation</t>
  </si>
  <si>
    <t>Cancellation profile</t>
  </si>
  <si>
    <t>Total Rows</t>
  </si>
  <si>
    <t>First Invoice Date</t>
  </si>
  <si>
    <t>Last Invoice Date</t>
  </si>
  <si>
    <t>Distinct Invoices</t>
  </si>
  <si>
    <t>Distinct Stock Codes</t>
  </si>
  <si>
    <t>Distinct Customers</t>
  </si>
  <si>
    <t>Distinct Countries</t>
  </si>
  <si>
    <t>Rows Missing Description</t>
  </si>
  <si>
    <t>Rows Negative Quantity</t>
  </si>
  <si>
    <t>Rows Zero Unit Price</t>
  </si>
  <si>
    <t>Cancellation Lines</t>
  </si>
  <si>
    <t>Manual Adjustment Lines</t>
  </si>
  <si>
    <t>Total Net Revenue</t>
  </si>
  <si>
    <t>Staging Rows</t>
  </si>
  <si>
    <t>Fact Rows</t>
  </si>
  <si>
    <t>Revenue Reconciliation</t>
  </si>
  <si>
    <t>Staging Revenue</t>
  </si>
  <si>
    <t>Fact Revenue</t>
  </si>
  <si>
    <t>Cancellation Profile</t>
  </si>
  <si>
    <t>Total Fact Rows</t>
  </si>
  <si>
    <t>Manual Adjustment Value</t>
  </si>
  <si>
    <t>Monthly Revenue Performance</t>
  </si>
  <si>
    <t>Year</t>
  </si>
  <si>
    <t>Month Num</t>
  </si>
  <si>
    <t>Month Name</t>
  </si>
  <si>
    <t>Year Month</t>
  </si>
  <si>
    <t>Gross Revenue</t>
  </si>
  <si>
    <t>Net Revenue</t>
  </si>
  <si>
    <t>Orders</t>
  </si>
  <si>
    <t>Units</t>
  </si>
  <si>
    <t>Avg Order Value</t>
  </si>
  <si>
    <t>Top Customers</t>
  </si>
  <si>
    <t>Customer Id</t>
  </si>
  <si>
    <t>Customer Segment</t>
  </si>
  <si>
    <t>Revenue</t>
  </si>
  <si>
    <t>Category</t>
  </si>
  <si>
    <t>Product Count</t>
  </si>
  <si>
    <t>Country Performance</t>
  </si>
  <si>
    <t>Country Name</t>
  </si>
  <si>
    <t>Region</t>
  </si>
  <si>
    <t>Active Customers</t>
  </si>
  <si>
    <t>Invoices</t>
  </si>
  <si>
    <t>Revenue Per Customer</t>
  </si>
  <si>
    <t>Cancellation Analysis</t>
  </si>
  <si>
    <t>Cancelled Value</t>
  </si>
  <si>
    <t>Gross Sales Value</t>
  </si>
  <si>
    <t>Cancellation Rate</t>
  </si>
  <si>
    <t>Running Revenue Total</t>
  </si>
  <si>
    <t>Monthly Revenue</t>
  </si>
  <si>
    <t>Running Total Revenue</t>
  </si>
  <si>
    <t>Customer Acquisition Cohorts</t>
  </si>
  <si>
    <t>Cohort Month</t>
  </si>
  <si>
    <t>Cohort Customers</t>
  </si>
  <si>
    <t>Total Revenue To Date</t>
  </si>
  <si>
    <t>Regional Revenue Ranking</t>
  </si>
  <si>
    <t>Quarter</t>
  </si>
  <si>
    <t>Region Rank</t>
  </si>
  <si>
    <t>Prior Month Revenue</t>
  </si>
  <si>
    <t>Absolute Change</t>
  </si>
  <si>
    <t>Pct Change</t>
  </si>
  <si>
    <t>Rolling Revenue Trend</t>
  </si>
  <si>
    <t>Rolling 3 Month Avg</t>
  </si>
  <si>
    <t>EXECUTIVE SUMMARY</t>
  </si>
  <si>
    <t>START HERE</t>
  </si>
  <si>
    <t>Validation</t>
  </si>
  <si>
    <t>Row-Count Reconciliation</t>
  </si>
  <si>
    <t>Product-Category Performance</t>
  </si>
  <si>
    <t>Month-on-Month Growth</t>
  </si>
  <si>
    <t>Governed SQL results, quality controls, metric definitions, and Power BI handoff</t>
  </si>
  <si>
    <t>PROJECT FACTS</t>
  </si>
  <si>
    <t>Project Title</t>
  </si>
  <si>
    <t>SQL Business Reporting Portfolio Project</t>
  </si>
  <si>
    <t>UCI Online Retail II</t>
  </si>
  <si>
    <t>Business Scenario</t>
  </si>
  <si>
    <t>Luxembourg-headquartered European e-commerce retailer</t>
  </si>
  <si>
    <t>Reporting Layer</t>
  </si>
  <si>
    <t>Excel output pack and Power BI dashboard</t>
  </si>
  <si>
    <t>Analytical Grain</t>
  </si>
  <si>
    <t>One invoice line per product per invoice</t>
  </si>
  <si>
    <t>Version</t>
  </si>
  <si>
    <t>v1.0</t>
  </si>
  <si>
    <t>Workbook Role</t>
  </si>
  <si>
    <t>01_Executive_Summary</t>
  </si>
  <si>
    <t>02_Workbook_Index</t>
  </si>
  <si>
    <t>04_Metric_Dictionary</t>
  </si>
  <si>
    <t>05_Validation_Summary</t>
  </si>
  <si>
    <t>06_Power_BI_Handoff</t>
  </si>
  <si>
    <t>Raw Data Profile</t>
  </si>
  <si>
    <t>Metric</t>
  </si>
  <si>
    <t>Value</t>
  </si>
  <si>
    <t>Unit</t>
  </si>
  <si>
    <t>Status</t>
  </si>
  <si>
    <t>Dataset Coverage</t>
  </si>
  <si>
    <t>Rows</t>
  </si>
  <si>
    <t>Date</t>
  </si>
  <si>
    <t>Entity Coverage</t>
  </si>
  <si>
    <t>Products</t>
  </si>
  <si>
    <t>Customers</t>
  </si>
  <si>
    <t>Countries</t>
  </si>
  <si>
    <t>Data Quality Flags</t>
  </si>
  <si>
    <t>Rows Missing Customer ID</t>
  </si>
  <si>
    <t>Cancellation Logic</t>
  </si>
  <si>
    <t>GBP</t>
  </si>
  <si>
    <t>Calculated Rates</t>
  </si>
  <si>
    <t>Missing Customer ID %</t>
  </si>
  <si>
    <t>Percent</t>
  </si>
  <si>
    <t>Cancellation Line %</t>
  </si>
  <si>
    <t>Negative Quantity %</t>
  </si>
  <si>
    <t>Zero Unit Price %</t>
  </si>
  <si>
    <t>Difference</t>
  </si>
  <si>
    <t>Orphan Key Check</t>
  </si>
  <si>
    <t>Validation Rule</t>
  </si>
  <si>
    <t>Result</t>
  </si>
  <si>
    <t>Product keys must resolve to dim_product</t>
  </si>
  <si>
    <t>Country keys must resolve to dim_country</t>
  </si>
  <si>
    <t>Date keys must resolve to dim_date</t>
  </si>
  <si>
    <t>Key Assumption: Manual adjustments are distinct from cancellation invoices.</t>
  </si>
  <si>
    <t>Note: Manual adjustment value may be zero where source rows use zero unit price for stock corrections or write-offs.</t>
  </si>
  <si>
    <t>Business Question: How is revenue trending month by month?</t>
  </si>
  <si>
    <t>SQL Technique: Aggregation, GROUP BY, CASE logic.</t>
  </si>
  <si>
    <t>Power BI Use: Revenue trend and KPI cards.</t>
  </si>
  <si>
    <t>Key Assumption: Gross excludes cancellations; net includes cancellation rows.</t>
  </si>
  <si>
    <t>Business Question: Who are the highest-value customers?</t>
  </si>
  <si>
    <t>SQL Technique: Customer aggregation and ranking.</t>
  </si>
  <si>
    <t>Power BI Use: Top-customer and concentration analysis.</t>
  </si>
  <si>
    <t>Key Assumption: Contribution is stored as percentage points.</t>
  </si>
  <si>
    <t>Business Question: Which categories drive revenue?</t>
  </si>
  <si>
    <t>SQL Technique: Category aggregation and share calculation.</t>
  </si>
  <si>
    <t>Power BI Use: Product mix visuals.</t>
  </si>
  <si>
    <t>Key Assumption: Categories are derived; uncategorised is retained.</t>
  </si>
  <si>
    <t>Business Question: Which countries perform strongest?</t>
  </si>
  <si>
    <t>SQL Technique: Dimensional joins and aggregation.</t>
  </si>
  <si>
    <t>Power BI Use: Geographic performance visuals.</t>
  </si>
  <si>
    <t>Key Assumption: GBP; no FX conversion; missing IDs excluded from customer counts.</t>
  </si>
  <si>
    <t>Business Question: Where is cancellation exposure highest?</t>
  </si>
  <si>
    <t>SQL Technique: Conditional aggregation and rate logic.</t>
  </si>
  <si>
    <t>Power BI Use: Cancellation risk visuals.</t>
  </si>
  <si>
    <t>Key Assumption: Rate = cancelled value / gross non-cancelled sales.</t>
  </si>
  <si>
    <t>Business Question: What is cumulative revenue momentum?</t>
  </si>
  <si>
    <t>SQL Technique: Cumulative SUM window function.</t>
  </si>
  <si>
    <t>Power BI Use: Cumulative trend line.</t>
  </si>
  <si>
    <t>Key Assumption: Months follow chronological order.</t>
  </si>
  <si>
    <t>Business Question: How valuable is each acquisition cohort?</t>
  </si>
  <si>
    <t>SQL Technique: First-purchase cohort logic.</t>
  </si>
  <si>
    <t>Power BI Use: Cohort analysis.</t>
  </si>
  <si>
    <t>Key Assumption: Requires identifiable customers.</t>
  </si>
  <si>
    <t>Business Question: How do regions rank quarterly?</t>
  </si>
  <si>
    <t>SQL Technique: RANK window partitioned by period.</t>
  </si>
  <si>
    <t>Power BI Use: Regional ranking visuals.</t>
  </si>
  <si>
    <t>Key Assumption: Ranks recalculate within year-quarter.</t>
  </si>
  <si>
    <t>Business Question: What is monthly revenue growth?</t>
  </si>
  <si>
    <t>SQL Technique: LAG, absolute and percentage change.</t>
  </si>
  <si>
    <t>Power BI Use: Growth and variance visuals.</t>
  </si>
  <si>
    <t>Key Assumption: First month has no prior; percentages are points.</t>
  </si>
  <si>
    <t>Business Question: What is the smoothed revenue trend?</t>
  </si>
  <si>
    <t>SQL Technique: Three-month windowed AVG.</t>
  </si>
  <si>
    <t>Power BI Use: Revenue and rolling-average trend.</t>
  </si>
  <si>
    <t>Key Assumption: Opening periods use available months.</t>
  </si>
  <si>
    <t>Control</t>
  </si>
  <si>
    <t>Rows profiled</t>
  </si>
  <si>
    <t>COMPLETE</t>
  </si>
  <si>
    <t>RECONCILED</t>
  </si>
  <si>
    <t>WORKBOOK INDEX</t>
  </si>
  <si>
    <t>Controlled inventory of documentation, validation, and business-query outputs</t>
  </si>
  <si>
    <t>Sheet Name</t>
  </si>
  <si>
    <t>Section</t>
  </si>
  <si>
    <t>Power BI Used?</t>
  </si>
  <si>
    <t>Review Status</t>
  </si>
  <si>
    <t>00_Cover</t>
  </si>
  <si>
    <t>Documentation</t>
  </si>
  <si>
    <t>Project scope and navigation</t>
  </si>
  <si>
    <t>No</t>
  </si>
  <si>
    <t>README.md</t>
  </si>
  <si>
    <t>Results, insights, and limitations</t>
  </si>
  <si>
    <t>Yes</t>
  </si>
  <si>
    <t>Governance</t>
  </si>
  <si>
    <t>Output inventory</t>
  </si>
  <si>
    <t>03_Data_Model_And_Architecture</t>
  </si>
  <si>
    <t>Source-to-report architecture</t>
  </si>
  <si>
    <t>schema.sql</t>
  </si>
  <si>
    <t>Metric definitions</t>
  </si>
  <si>
    <t>Consolidated controls</t>
  </si>
  <si>
    <t>data_quality_checks.sql</t>
  </si>
  <si>
    <t>Handoff</t>
  </si>
  <si>
    <t>Power BI page mapping</t>
  </si>
  <si>
    <t>power_bi_handoff.md</t>
  </si>
  <si>
    <t>DQ01_Raw_Profile</t>
  </si>
  <si>
    <t>Source profile</t>
  </si>
  <si>
    <t>DQ02_Row_Reconciliation</t>
  </si>
  <si>
    <t>Row completeness</t>
  </si>
  <si>
    <t>DQ03_Revenue_Reconciliation</t>
  </si>
  <si>
    <t>Financial reconciliation</t>
  </si>
  <si>
    <t>DQ04_Orphan_Key_Check</t>
  </si>
  <si>
    <t>Key integrity</t>
  </si>
  <si>
    <t>DQ05_Cancellation_Profile</t>
  </si>
  <si>
    <t>Q01_Monthly_Revenue</t>
  </si>
  <si>
    <t>Business Query</t>
  </si>
  <si>
    <t>Q02_Top_Customers</t>
  </si>
  <si>
    <t>02_top_customers.sql</t>
  </si>
  <si>
    <t>Q03_Product_Category</t>
  </si>
  <si>
    <t>Q04_Country_Performance</t>
  </si>
  <si>
    <t>04_country_performance.sql</t>
  </si>
  <si>
    <t>Q05_Cancellation_Analysis</t>
  </si>
  <si>
    <t>05_cancellation_analysis.sql</t>
  </si>
  <si>
    <t>Q06_Running_Revenue</t>
  </si>
  <si>
    <t>06_running_revenue.sql</t>
  </si>
  <si>
    <t>Q07_Customer_Cohorts</t>
  </si>
  <si>
    <t>07_customer_cohorts.sql</t>
  </si>
  <si>
    <t>Q08_Regional_Ranking</t>
  </si>
  <si>
    <t>08_regional_ranking.sql</t>
  </si>
  <si>
    <t>Q09_MoM_Growth</t>
  </si>
  <si>
    <t>09_mom_growth.sql</t>
  </si>
  <si>
    <t>Q10_Rolling_Revenue</t>
  </si>
  <si>
    <t>10_rolling_revenue.sql</t>
  </si>
  <si>
    <t>DATA MODEL AND ARCHITECTURE</t>
  </si>
  <si>
    <t>Source-to-report flow, grain, entities, and control points</t>
  </si>
  <si>
    <t>Step</t>
  </si>
  <si>
    <t>Layer</t>
  </si>
  <si>
    <t>Output</t>
  </si>
  <si>
    <t>Raw files</t>
  </si>
  <si>
    <t>Retain UCI extracts</t>
  </si>
  <si>
    <t>2009–10 and 2010–11 files</t>
  </si>
  <si>
    <t>Staging</t>
  </si>
  <si>
    <t>Clean, type, and enrich</t>
  </si>
  <si>
    <t>Typed staging table</t>
  </si>
  <si>
    <t>Star schema</t>
  </si>
  <si>
    <t>Resolve conformed dimensions</t>
  </si>
  <si>
    <t>Fact sales plus date, customer, product, country</t>
  </si>
  <si>
    <t>Reconcile volume, revenue, and keys</t>
  </si>
  <si>
    <t>DQ01–DQ05</t>
  </si>
  <si>
    <t>Reporting</t>
  </si>
  <si>
    <t>Answer ten questions</t>
  </si>
  <si>
    <t>Q01–Q10 named Tables</t>
  </si>
  <si>
    <t>Power BI</t>
  </si>
  <si>
    <t>Five report pages</t>
  </si>
  <si>
    <t>METRIC DICTIONARY</t>
  </si>
  <si>
    <t>Governed definitions used across SQL outputs and Power BI</t>
  </si>
  <si>
    <t>Definition</t>
  </si>
  <si>
    <t>Formula / Logic</t>
  </si>
  <si>
    <t>Included Rows</t>
  </si>
  <si>
    <t>Excluded Rows</t>
  </si>
  <si>
    <t>Used In</t>
  </si>
  <si>
    <t>Non-cancelled lines</t>
  </si>
  <si>
    <t>Cancellation lines</t>
  </si>
  <si>
    <t>Q01; Q04</t>
  </si>
  <si>
    <t>Revenue after cancellations</t>
  </si>
  <si>
    <t>SUM all gross_revenue</t>
  </si>
  <si>
    <t>All fact rows</t>
  </si>
  <si>
    <t>None</t>
  </si>
  <si>
    <t>DQ03; Q01</t>
  </si>
  <si>
    <t>Cancelled value / gross sales</t>
  </si>
  <si>
    <t>Cancelled Value / Gross Sales Value</t>
  </si>
  <si>
    <t>All sales/cancellations</t>
  </si>
  <si>
    <t>Zero gross sales</t>
  </si>
  <si>
    <t>Q05</t>
  </si>
  <si>
    <t>Average Order Value</t>
  </si>
  <si>
    <t>Gross revenue / orders</t>
  </si>
  <si>
    <t>Gross Revenue / distinct invoices</t>
  </si>
  <si>
    <t>Non-cancelled invoices</t>
  </si>
  <si>
    <t>Cancellations</t>
  </si>
  <si>
    <t>Q01; Q02</t>
  </si>
  <si>
    <t>Revenue per Customer</t>
  </si>
  <si>
    <t>Revenue / active customers</t>
  </si>
  <si>
    <t>Revenue / distinct customer IDs</t>
  </si>
  <si>
    <t>Identified customers</t>
  </si>
  <si>
    <t>Missing IDs</t>
  </si>
  <si>
    <t>Q04</t>
  </si>
  <si>
    <t>Running Revenue</t>
  </si>
  <si>
    <t>Cumulative monthly revenue</t>
  </si>
  <si>
    <t>SUM OVER ordered months</t>
  </si>
  <si>
    <t>All months</t>
  </si>
  <si>
    <t>Q06</t>
  </si>
  <si>
    <t>MoM Growth</t>
  </si>
  <si>
    <t>Change from prior month</t>
  </si>
  <si>
    <t>(Revenue-Prior)/Prior</t>
  </si>
  <si>
    <t>Months with prior</t>
  </si>
  <si>
    <t>First month</t>
  </si>
  <si>
    <t>Q09</t>
  </si>
  <si>
    <t>Rolling 3-Month Average</t>
  </si>
  <si>
    <t>Smoothed revenue</t>
  </si>
  <si>
    <t>AVG current and prior 2 months</t>
  </si>
  <si>
    <t>Available months</t>
  </si>
  <si>
    <t>Q10</t>
  </si>
  <si>
    <t>VALIDATION SUMMARY</t>
  </si>
  <si>
    <t>Consolidated completeness, financial, and key-integrity controls</t>
  </si>
  <si>
    <t>Criterion</t>
  </si>
  <si>
    <t>Detail Sheet</t>
  </si>
  <si>
    <t>Difference = 0</t>
  </si>
  <si>
    <t>Abs difference &lt; £0.01</t>
  </si>
  <si>
    <t>Product keys</t>
  </si>
  <si>
    <t>Missing = 0</t>
  </si>
  <si>
    <t>Country keys</t>
  </si>
  <si>
    <t>Date keys</t>
  </si>
  <si>
    <t>Missing Customer ID</t>
  </si>
  <si>
    <t>Profiled limitation</t>
  </si>
  <si>
    <t>MONITOR</t>
  </si>
  <si>
    <t>POWER BI HANDOFF</t>
  </si>
  <si>
    <t>Named Excel Tables mapped to report pages, visuals, fields, and purpose</t>
  </si>
  <si>
    <t>Power BI Page</t>
  </si>
  <si>
    <t>Main Visuals</t>
  </si>
  <si>
    <t>Key Fields</t>
  </si>
  <si>
    <t>Executive Overview</t>
  </si>
  <si>
    <t>Customer Analytics</t>
  </si>
  <si>
    <t>Product Analytics</t>
  </si>
  <si>
    <t>Geographic Analytics</t>
  </si>
  <si>
    <t>Revenue Trend</t>
  </si>
  <si>
    <t>1. PROJECT PURPOSE</t>
  </si>
  <si>
    <t>2. ARCHITECTURE SUMMARY</t>
  </si>
  <si>
    <t>UCI source extracts → standardized staging → invoice-line fact table with date, customer, product, and country dimensions → validation controls → ten named Excel Tables → Power BI reporting pages.</t>
  </si>
  <si>
    <t>4. KEY BUSINESS INSIGHTS</t>
  </si>
  <si>
    <t>Revenue is highly seasonal; November 2011 produced the strongest monthly gross revenue at £1,509,496.33.</t>
  </si>
  <si>
    <t>The United Kingdom contributes £14,723,147.52 of attributed country revenue, creating both commercial strength and concentration risk.</t>
  </si>
  <si>
    <t>Other or uncategorised products contribute 39.4% of category revenue, indicating a material classification-governance gap.</t>
  </si>
  <si>
    <t>Cancellation exposure should be assessed using both value and rate because small markets can show volatile rates on low sales volume.</t>
  </si>
  <si>
    <t>5. LIMITATIONS AND POWER BI NEXT STEP</t>
  </si>
  <si>
    <t>Purpose: Validate raw data coverage and quality before analysis.</t>
  </si>
  <si>
    <t>Business Use: Confirms the dataset supports customer, product, country, cancellation, and revenue reporting.</t>
  </si>
  <si>
    <t>Power BI Use: Supports executive KPI cards and data-quality notes.</t>
  </si>
  <si>
    <t>Key Assumption: Source currency is GBP; dates are true dates; no FX conversion is applied.</t>
  </si>
  <si>
    <t>Purpose: Confirm every staging row is represented in the fact table.</t>
  </si>
  <si>
    <t>Business Use: Provides a completeness control before downstream reporting.</t>
  </si>
  <si>
    <t>Power BI Use: Retained as validation evidence; not loaded to the report model.</t>
  </si>
  <si>
    <t>Key Assumption: Staging and fact tables share the same invoice-line grain.</t>
  </si>
  <si>
    <t>Purpose: Confirm staging and fact revenue reconcile exactly.</t>
  </si>
  <si>
    <t>Business Use: Provides the core financial control for reporting outputs.</t>
  </si>
  <si>
    <t>Key Assumption: Both layers use source GBP and identical cancellation treatment.</t>
  </si>
  <si>
    <t>Purpose: Confirm fact-table keys resolve to product, country, and date dimensions.</t>
  </si>
  <si>
    <t>Business Use: Protects dimensional reporting from unmatched fact rows.</t>
  </si>
  <si>
    <t>Power BI Use: Retained as referential-integrity evidence; not loaded to the report model.</t>
  </si>
  <si>
    <t>Key Assumption: Zero missing dimension keys is required for PASS.</t>
  </si>
  <si>
    <t>Purpose: Profile cancellations and manual adjustments before business analysis.</t>
  </si>
  <si>
    <t>Business Use: Separates commercial cancellations from stock corrections and write-offs.</t>
  </si>
  <si>
    <t>Power BI Use: Supports cancellation KPI definitions and data-quality notes.</t>
  </si>
  <si>
    <t>Monthly gross and net revenue trend</t>
  </si>
  <si>
    <t>Highest-value customers and revenue contribution</t>
  </si>
  <si>
    <t>Category revenue, units, breadth, and share</t>
  </si>
  <si>
    <t>Country revenue and customer productivity</t>
  </si>
  <si>
    <t>Cancellation value and rate exposure</t>
  </si>
  <si>
    <t>Cumulative revenue momentum</t>
  </si>
  <si>
    <t>Acquisition cohort value and value per customer</t>
  </si>
  <si>
    <t>Quarterly regional revenue rank</t>
  </si>
  <si>
    <t>Monthly revenue movement and growth</t>
  </si>
  <si>
    <t>Smoothed three-month revenue trend</t>
  </si>
  <si>
    <t>01_monthly_revenue_performance.sql</t>
  </si>
  <si>
    <t>03_product_category_performance.sql</t>
  </si>
  <si>
    <t>Excel Source Sheet / Table</t>
  </si>
  <si>
    <t>Q01_Monthly_Revenue (tbl_q01_monthly_revenue); Q04_Country_Performance (tbl_q04_country_performance); Q03_Product_Category (tbl_q03_product_category)</t>
  </si>
  <si>
    <t>Q02_Top_Customers (tbl_q02_top_customers); Q07_Customer_Cohorts (tbl_q07_customer_cohorts)</t>
  </si>
  <si>
    <t>Q03_Product_Category (tbl_q03_product_category)</t>
  </si>
  <si>
    <t>Q04_Country_Performance (tbl_q04_country_performance); Q08_Regional_Ranking (tbl_q08_regional_ranking)</t>
  </si>
  <si>
    <t>Q01_Monthly_Revenue (tbl_q01_monthly_revenue); Q06_Running_Revenue (tbl_q06_running_revenue); Q09_MoM_Growth (tbl_q09_mom_growth); Q10_Rolling_Revenue (tbl_q10_rolling_revenue)</t>
  </si>
  <si>
    <t>KPI cards; revenue trend; country bar; category bar</t>
  </si>
  <si>
    <t>Top-customer table; cohort chart; customer value cards</t>
  </si>
  <si>
    <t>Category revenue bar; units by category; product count</t>
  </si>
  <si>
    <t>Country ranking; regional performance; revenue per customer</t>
  </si>
  <si>
    <t>Line charts; growth chart; rolling average</t>
  </si>
  <si>
    <t>Gross Revenue; Net Revenue; Orders; Country; Category</t>
  </si>
  <si>
    <t>Customer ID; Revenue; Orders; Cohort Month</t>
  </si>
  <si>
    <t>Category; Revenue; Units; Product Count</t>
  </si>
  <si>
    <t>Country; Region; Revenue; Revenue Per Customer</t>
  </si>
  <si>
    <t>Year Month; Revenue; Running Total; Pct Change</t>
  </si>
  <si>
    <t>Shows high-level business performance</t>
  </si>
  <si>
    <t>Explains customer value and acquisition behaviour</t>
  </si>
  <si>
    <t>Explains product mix and category concentration</t>
  </si>
  <si>
    <t>Explains geographic concentration and expansion opportunity</t>
  </si>
  <si>
    <t>Explains seasonality and momentum</t>
  </si>
  <si>
    <t>Source Currency Treatment</t>
  </si>
  <si>
    <t>Unit prices treated as GBP; no FX conversion applied</t>
  </si>
  <si>
    <t>Row reconciliation difference</t>
  </si>
  <si>
    <t>Revenue reconciliation difference</t>
  </si>
  <si>
    <t>Missing dimension keys</t>
  </si>
  <si>
    <t>Net revenue reconciled</t>
  </si>
  <si>
    <t>PASS</t>
  </si>
  <si>
    <t>Source / Reference</t>
  </si>
  <si>
    <t>Analytical grain: one invoice line per product per invoice. Final reporting grain: one row per query output record in Excel; one invoice line per row in the BigQuery fact table. Unit prices are treated as GBP with no FX conversion. Missing customer IDs and derived product categories remain documented limitations.</t>
  </si>
  <si>
    <t>Non-cancelled sales value before cancellation rows are netted back.</t>
  </si>
  <si>
    <t>SUM(gross_revenue) where is_cancelled = FALSE</t>
  </si>
  <si>
    <t>Cancellation Value Removed</t>
  </si>
  <si>
    <t>Revenue Share %</t>
  </si>
  <si>
    <t>Note: Small customer bases can inflate revenue-per-customer comparisons; interpret EIRE and other low-customer markets with care.</t>
  </si>
  <si>
    <t>Note: Very small markets may show cancellation rates above 100% where cancelled value exceeds gross sales value.</t>
  </si>
  <si>
    <t>query_catalogue.md</t>
  </si>
  <si>
    <t>metric_dictionary.md</t>
  </si>
  <si>
    <t>Sheet</t>
  </si>
  <si>
    <t>The top ten customers contribute 15.9% of identified-customer revenue, so value is concentrated but not dependent on one customer group.</t>
  </si>
  <si>
    <t>Limitations: 243,007 rows have missing customer IDs; product categories are derived and retain a 39.4% uncategorised share; unit prices are treated as GBP with no FX conversion; revenue is highly UK-concentrated; and cancellation rates are volatile in low-volume countries. Next step: load the named Excel Tables into Power BI and build the five pages mapped in 06_Power_BI_Handoff.</t>
  </si>
  <si>
    <t>PROFILED</t>
  </si>
  <si>
    <t>REVIEWED</t>
  </si>
  <si>
    <t>Note: The first month has no prior comparison; Prior Month Revenue, Absolute Change, and Pct Change are intentionally blank.</t>
  </si>
  <si>
    <t>Dataset Source</t>
  </si>
  <si>
    <t>Author</t>
  </si>
  <si>
    <t>Joy Lorna</t>
  </si>
  <si>
    <t>Reporting Period</t>
  </si>
  <si>
    <t>Dec 2009 – Dec 2011</t>
  </si>
  <si>
    <t>Data As Of</t>
  </si>
  <si>
    <t>Last Updated</t>
  </si>
  <si>
    <t>Dec 2011</t>
  </si>
  <si>
    <t>Aug 2026</t>
  </si>
  <si>
    <t>PORTFOLIO DISCLOSURE</t>
  </si>
  <si>
    <t>This project uses the publicly available UCI Online Retail II dataset. The Luxembourg business context, reporting structure, management commentary and analytical outputs are simulated for portfolio and educational purposes. No real company data, customer data or proprietary commercial information is used.</t>
  </si>
  <si>
    <t>Prepared</t>
  </si>
  <si>
    <t>Verified</t>
  </si>
  <si>
    <t>Complete</t>
  </si>
  <si>
    <t>SQL BUSINESS REPORTING — PORTFOLIO OUTPUT PACK</t>
  </si>
  <si>
    <t>Controlled evidence pack for a fictional Luxembourg-headquartered European e-commerce retailer using UCI Online Retail II. Excel documents reconciled SQL outputs and governance; Power BI is the visualization layer.</t>
  </si>
  <si>
    <t>Reconciled SQL output pack</t>
  </si>
  <si>
    <t>Purpose, architecture, reconciled results, business insights, and Power BI next step</t>
  </si>
  <si>
    <t>Translate ten stakeholder questions into governed SQL outputs supported by a dimensional model, controlled metric logic, and reconciliation checks. This workbook is the reconciled evidence and handoff layer; Power BI remains the visualization and interaction layer.</t>
  </si>
  <si>
    <t>3. RECONCILED RESULTS</t>
  </si>
  <si>
    <t>Model and visualize prepared outputs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</si>
</sst>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0.00;[Red]\(\£#,##0.00\)"/>
    <numFmt numFmtId="168" formatCode="yyyy\-mm\-dd"/>
  </numFmts>
  <fonts count="14" x14ac:knownFonts="1">
    <font>
      <sz val="10"/>
      <color rgb="FF000000"/>
      <name val="Arial"/>
      <scheme val="minor"/>
    </font>
    <font>
      <sz val="10"/>
      <color rgb="FF000000"/>
      <name val="Aptos"/>
    </font>
    <font>
      <b/>
      <sz val="10"/>
      <color rgb="FFFFFFFF"/>
      <name val="Aptos"/>
    </font>
    <font>
      <b/>
      <sz val="11"/>
      <color rgb="FFFFFFFF"/>
      <name val="Aptos"/>
    </font>
    <font>
      <b/>
      <sz val="18"/>
      <color rgb="FFFFFFFF"/>
      <name val="Aptos"/>
    </font>
    <font>
      <i/>
      <sz val="10"/>
      <color rgb="FF555555"/>
      <name val="Aptos"/>
    </font>
    <font>
      <b/>
      <sz val="10"/>
      <color rgb="FF333333"/>
      <name val="Aptos"/>
    </font>
    <font>
      <b/>
      <sz val="10"/>
      <color rgb="FF375623"/>
      <name val="Aptos"/>
    </font>
    <font>
      <b/>
      <sz val="10"/>
      <color rgb="FF9C5700"/>
      <name val="Aptos"/>
    </font>
    <font>
      <i/>
      <sz val="10"/>
      <color rgb="FF7F6000"/>
      <name val="Arial"/>
      <scheme val="minor"/>
    </font>
    <font>
      <i/>
      <sz val="10"/>
      <color rgb="FF375623"/>
      <name val="Arial"/>
      <scheme val="minor"/>
    </font>
    <font>
      <b/>
      <sz val="10"/>
      <color rgb="FFFFFFFF"/>
      <name val="Arial"/>
      <scheme val="minor"/>
    </font>
    <font>
      <sz val="10"/>
      <color rgb="FF333333"/>
      <name val="Arial"/>
      <scheme val="minor"/>
    </font>
    <font>
      <b/>
      <sz val="10"/>
      <color rgb="FF000000"/>
      <name val="Aptos"/>
      <family val="2"/>
    </font>
  </fonts>
  <fills count="8">
    <fill>
      <patternFill patternType="none"/>
    </fill>
    <fill>
      <patternFill patternType="gray125"/>
    </fill>
    <fill>
      <patternFill patternType="solid">
        <fgColor rgb="FF17365D"/>
        <bgColor indexed="64"/>
      </patternFill>
    </fill>
    <fill>
      <patternFill patternType="solid">
        <fgColor rgb="FFE9EFF5"/>
        <bgColor indexed="64"/>
      </patternFill>
    </fill>
    <fill>
      <patternFill patternType="solid">
        <fgColor rgb="FF0F6B78"/>
        <bgColor indexed="64"/>
      </patternFill>
    </fill>
    <fill>
      <patternFill patternType="solid">
        <fgColor rgb="FFE2F0D9"/>
        <bgColor indexed="64"/>
      </patternFill>
    </fill>
    <fill>
      <patternFill patternType="solid">
        <fgColor rgb="FFFCE4D6"/>
        <bgColor indexed="64"/>
      </patternFill>
    </fill>
    <fill>
      <patternFill patternType="solid">
        <fgColor rgb="FFFFF2CC"/>
        <bgColor indexed="64"/>
      </patternFill>
    </fill>
  </fills>
  <borders count="9">
    <border>
      <left/>
      <right/>
      <top/>
      <bottom/>
      <diagonal/>
    </border>
    <border>
      <left/>
      <right/>
      <top style="thin">
        <color rgb="FF0F6B78"/>
      </top>
      <bottom/>
      <diagonal/>
    </border>
    <border>
      <left/>
      <right/>
      <top/>
      <bottom style="thin">
        <color rgb="FF0F6B78"/>
      </bottom>
      <diagonal/>
    </border>
    <border>
      <left style="thin">
        <color rgb="FF0F6B78"/>
      </left>
      <right/>
      <top style="thin">
        <color rgb="FF0F6B78"/>
      </top>
      <bottom/>
      <diagonal/>
    </border>
    <border>
      <left style="thin">
        <color rgb="FF0F6B78"/>
      </left>
      <right/>
      <top/>
      <bottom/>
      <diagonal/>
    </border>
    <border>
      <left style="thin">
        <color rgb="FF0F6B78"/>
      </left>
      <right/>
      <top/>
      <bottom style="thin">
        <color rgb="FF0F6B78"/>
      </bottom>
      <diagonal/>
    </border>
    <border>
      <left/>
      <right style="thin">
        <color rgb="FF0F6B78"/>
      </right>
      <top style="thin">
        <color rgb="FF0F6B78"/>
      </top>
      <bottom/>
      <diagonal/>
    </border>
    <border>
      <left/>
      <right style="thin">
        <color rgb="FF0F6B78"/>
      </right>
      <top/>
      <bottom/>
      <diagonal/>
    </border>
    <border>
      <left/>
      <right style="thin">
        <color rgb="FF0F6B78"/>
      </right>
      <top/>
      <bottom style="thin">
        <color rgb="FF0F6B78"/>
      </bottom>
      <diagonal/>
    </border>
  </borders>
  <cellStyleXfs count="1">
    <xf numFmtId="0" fontId="0" fillId="0" borderId="0"/>
  </cellStyleXfs>
  <cellXfs count="36">
    <xf numFmtId="0" fontId="0" fillId="0" borderId="0" xfId="0"/>
    <xf numFmtId="0" fontId="0" fillId="0" borderId="0" xfId="0" applyAlignment="1">
      <alignment wrapText="1"/>
    </xf>
    <xf numFmtId="0" fontId="1" fillId="0" borderId="0" xfId="0" applyFont="1" applyAlignment="1">
      <alignment vertical="center"/>
    </xf>
    <xf numFmtId="0" fontId="1" fillId="0" borderId="0" xfId="0" applyFont="1" applyAlignment="1">
      <alignment vertical="center" wrapText="1"/>
    </xf>
    <xf numFmtId="0" fontId="6" fillId="3" borderId="0" xfId="0" applyFont="1" applyFill="1" applyAlignment="1">
      <alignment vertical="center" wrapText="1"/>
    </xf>
    <xf numFmtId="3" fontId="1" fillId="0" borderId="0" xfId="0" applyNumberFormat="1" applyFont="1" applyAlignment="1">
      <alignment vertical="center"/>
    </xf>
    <xf numFmtId="0" fontId="7" fillId="5" borderId="0" xfId="0" applyFont="1" applyFill="1" applyAlignment="1">
      <alignment vertical="center"/>
    </xf>
    <xf numFmtId="167" fontId="1" fillId="0" borderId="0" xfId="0" applyNumberFormat="1" applyFont="1" applyAlignment="1">
      <alignment vertical="center"/>
    </xf>
    <xf numFmtId="0" fontId="8" fillId="6" borderId="0" xfId="0" applyFont="1" applyFill="1" applyAlignment="1">
      <alignment vertical="center"/>
    </xf>
    <xf numFmtId="1" fontId="1" fillId="0" borderId="0" xfId="0" applyNumberFormat="1" applyFont="1" applyAlignment="1">
      <alignment vertical="center"/>
    </xf>
    <xf numFmtId="49" fontId="1" fillId="0" borderId="0" xfId="0" applyNumberFormat="1" applyFont="1" applyAlignment="1">
      <alignment vertical="center"/>
    </xf>
    <xf numFmtId="0" fontId="4" fillId="2" borderId="0" xfId="0" applyFont="1" applyFill="1" applyAlignment="1">
      <alignment horizontal="left" vertical="center"/>
    </xf>
    <xf numFmtId="0" fontId="5" fillId="3" borderId="0" xfId="0" applyFont="1" applyFill="1" applyAlignment="1">
      <alignment horizontal="left" vertical="center"/>
    </xf>
    <xf numFmtId="0" fontId="2" fillId="4" borderId="0" xfId="0" applyFont="1" applyFill="1" applyAlignment="1">
      <alignment vertical="center"/>
    </xf>
    <xf numFmtId="0" fontId="1" fillId="0" borderId="0" xfId="0" applyFont="1" applyAlignment="1">
      <alignment vertical="center" wrapText="1"/>
    </xf>
    <xf numFmtId="0" fontId="3" fillId="4" borderId="0" xfId="0" applyFont="1" applyFill="1" applyAlignment="1">
      <alignment horizontal="left" vertical="center"/>
    </xf>
    <xf numFmtId="0" fontId="1" fillId="0" borderId="0" xfId="0" applyFont="1" applyAlignment="1">
      <alignment horizontal="left" vertical="center"/>
    </xf>
    <xf numFmtId="0" fontId="9" fillId="7" borderId="0" xfId="0" applyFont="1" applyFill="1" applyAlignment="1">
      <alignment wrapText="1"/>
    </xf>
    <xf numFmtId="0" fontId="10" fillId="5" borderId="0" xfId="0" applyFont="1" applyFill="1" applyAlignment="1">
      <alignment wrapText="1"/>
    </xf>
    <xf numFmtId="49" fontId="1" fillId="0" borderId="0" xfId="0" applyNumberFormat="1" applyFont="1" applyAlignment="1">
      <alignment vertical="center" wrapText="1"/>
    </xf>
    <xf numFmtId="0" fontId="11" fillId="4" borderId="0" xfId="0" applyFont="1" applyFill="1" applyAlignment="1">
      <alignment vertical="center"/>
    </xf>
    <xf numFmtId="0" fontId="12" fillId="3" borderId="0" xfId="0" applyFont="1" applyFill="1" applyBorder="1" applyAlignment="1">
      <alignment vertical="top" wrapText="1"/>
    </xf>
    <xf numFmtId="0" fontId="12" fillId="3" borderId="1" xfId="0" applyFont="1" applyFill="1" applyBorder="1" applyAlignment="1">
      <alignment vertical="top" wrapText="1"/>
    </xf>
    <xf numFmtId="0" fontId="12" fillId="3" borderId="2" xfId="0" applyFont="1" applyFill="1" applyBorder="1" applyAlignment="1">
      <alignment vertical="top" wrapText="1"/>
    </xf>
    <xf numFmtId="0" fontId="12" fillId="3" borderId="3" xfId="0" applyFont="1" applyFill="1" applyBorder="1" applyAlignment="1">
      <alignment vertical="top" wrapText="1"/>
    </xf>
    <xf numFmtId="0" fontId="12" fillId="3" borderId="4" xfId="0" applyFont="1" applyFill="1" applyBorder="1" applyAlignment="1">
      <alignment vertical="top" wrapText="1"/>
    </xf>
    <xf numFmtId="0" fontId="12" fillId="3" borderId="5" xfId="0" applyFont="1" applyFill="1" applyBorder="1" applyAlignment="1">
      <alignment vertical="top" wrapText="1"/>
    </xf>
    <xf numFmtId="0" fontId="12" fillId="3" borderId="6" xfId="0" applyFont="1" applyFill="1" applyBorder="1" applyAlignment="1">
      <alignment vertical="top" wrapText="1"/>
    </xf>
    <xf numFmtId="0" fontId="12" fillId="3" borderId="7" xfId="0" applyFont="1" applyFill="1" applyBorder="1" applyAlignment="1">
      <alignment vertical="top" wrapText="1"/>
    </xf>
    <xf numFmtId="0" fontId="12" fillId="3" borderId="8" xfId="0" applyFont="1" applyFill="1" applyBorder="1" applyAlignment="1">
      <alignment vertical="top" wrapText="1"/>
    </xf>
    <xf numFmtId="167" fontId="1" fillId="0" borderId="0" xfId="0" applyNumberFormat="1" applyFont="1" applyAlignment="1">
      <alignment horizontal="right" vertical="center"/>
    </xf>
    <xf numFmtId="10" fontId="1" fillId="0" borderId="0" xfId="0" applyNumberFormat="1" applyFont="1" applyAlignment="1">
      <alignment vertical="center"/>
    </xf>
    <xf numFmtId="10" fontId="1" fillId="0" borderId="0" xfId="0" applyNumberFormat="1" applyFont="1" applyAlignment="1">
      <alignment horizontal="right" vertical="center"/>
    </xf>
    <xf numFmtId="3" fontId="1" fillId="0" borderId="0" xfId="0" applyNumberFormat="1" applyFont="1" applyAlignment="1">
      <alignment horizontal="right" vertical="center"/>
    </xf>
    <xf numFmtId="168" fontId="1" fillId="0" borderId="0" xfId="0" applyNumberFormat="1" applyFont="1" applyAlignment="1">
      <alignment horizontal="right" vertical="center"/>
    </xf>
    <xf numFmtId="0" fontId="13" fillId="0" borderId="0" xfId="0" applyFont="1" applyAlignment="1">
      <alignment vertical="center"/>
    </xf>
  </cellXfs>
  <cellStyles count="1">
    <cellStyle name="Normal" xfId="0" builtinId="0"/>
  </cellStyles>
  <dxfs count="150">
    <dxf>
      <font>
        <name val="Aptos"/>
      </font>
      <numFmt numFmtId="167" formatCode="\£#,##0.00;[Red]\(\£#,##0.00\)"/>
      <alignment horizontal="right" vertical="center"/>
    </dxf>
    <dxf>
      <font>
        <name val="Aptos"/>
      </font>
      <numFmt numFmtId="14" formatCode="0.00%"/>
      <alignment horizontal="right" vertical="center"/>
    </dxf>
    <dxf>
      <font>
        <name val="Aptos"/>
      </font>
      <numFmt numFmtId="167" formatCode="\£#,##0.00;[Red]\(\£#,##0.00\)"/>
      <alignment horizontal="right" vertical="center"/>
    </dxf>
    <dxf>
      <font>
        <name val="Aptos"/>
      </font>
      <numFmt numFmtId="167" formatCode="\£#,##0.00;[Red]\(\£#,##0.00\)"/>
      <alignment horizontal="right" vertical="center"/>
    </dxf>
    <dxf>
      <font>
        <name val="Aptos"/>
      </font>
      <numFmt numFmtId="167" formatCode="\£#,##0.00;[Red]\(\£#,##0.00\)"/>
      <alignment horizontal="right" vertical="center"/>
    </dxf>
    <dxf>
      <font>
        <name val="Aptos"/>
      </font>
      <numFmt numFmtId="167" formatCode="\£#,##0.00;[Red]\(\£#,##0.00\)"/>
      <alignment horizontal="right" vertical="center"/>
    </dxf>
    <dxf>
      <font>
        <name val="Aptos"/>
      </font>
      <numFmt numFmtId="167" formatCode="\£#,##0.00;[Red]\(\£#,##0.00\)"/>
      <alignment horizontal="right" vertical="center"/>
    </dxf>
    <dxf>
      <font>
        <name val="Aptos"/>
      </font>
      <numFmt numFmtId="167" formatCode="\£#,##0.00;[Red]\(\£#,##0.00\)"/>
      <alignment horizontal="right" vertical="center"/>
    </dxf>
    <dxf>
      <font>
        <name val="Aptos"/>
      </font>
      <numFmt numFmtId="167" formatCode="\£#,##0.00;[Red]\(\£#,##0.00\)"/>
      <alignment horizontal="right" vertical="center"/>
    </dxf>
    <dxf>
      <font>
        <name val="Aptos"/>
      </font>
      <numFmt numFmtId="14" formatCode="0.00%"/>
      <alignment horizontal="right" vertical="center"/>
    </dxf>
    <dxf>
      <font>
        <name val="Aptos"/>
      </font>
      <numFmt numFmtId="167" formatCode="\£#,##0.00;[Red]\(\£#,##0.00\)"/>
      <alignment horizontal="right" vertical="center"/>
    </dxf>
    <dxf>
      <font>
        <name val="Aptos"/>
      </font>
      <numFmt numFmtId="167" formatCode="\£#,##0.00;[Red]\(\£#,##0.00\)"/>
      <alignment horizontal="right" vertical="center"/>
    </dxf>
    <dxf>
      <font>
        <name val="Aptos"/>
      </font>
      <numFmt numFmtId="167" formatCode="\£#,##0.00;[Red]\(\£#,##0.00\)"/>
      <alignment horizontal="right" vertical="center"/>
    </dxf>
    <dxf>
      <font>
        <name val="Aptos"/>
      </font>
      <numFmt numFmtId="167" formatCode="\£#,##0.00;[Red]\(\£#,##0.00\)"/>
      <alignment horizontal="right" vertical="center"/>
    </dxf>
    <dxf>
      <font>
        <name val="Aptos"/>
      </font>
      <numFmt numFmtId="14" formatCode="0.00%"/>
      <alignment horizontal="right" vertical="center"/>
    </dxf>
    <dxf>
      <font>
        <name val="Aptos"/>
      </font>
      <numFmt numFmtId="167" formatCode="\£#,##0.00;[Red]\(\£#,##0.00\)"/>
      <alignment horizontal="right" vertical="center"/>
    </dxf>
    <dxf>
      <font>
        <name val="Aptos"/>
      </font>
      <numFmt numFmtId="14" formatCode="0.00%"/>
      <alignment horizontal="right" vertical="center"/>
    </dxf>
    <dxf>
      <font>
        <name val="Aptos"/>
      </font>
      <numFmt numFmtId="167" formatCode="\£#,##0.00;[Red]\(\£#,##0.00\)"/>
      <alignment horizontal="right" vertical="center"/>
    </dxf>
    <dxf>
      <font>
        <name val="Aptos"/>
      </font>
      <numFmt numFmtId="167" formatCode="\£#,##0.00;[Red]\(\£#,##0.00\)"/>
      <alignment horizontal="right" vertical="center"/>
    </dxf>
    <dxf>
      <font>
        <name val="Aptos"/>
      </font>
      <numFmt numFmtId="167" formatCode="\£#,##0.00;[Red]\(\£#,##0.00\)"/>
      <alignment horizontal="right" vertical="center"/>
    </dxf>
    <dxf>
      <font>
        <name val="Aptos"/>
      </font>
      <numFmt numFmtId="167" formatCode="\£#,##0.00;[Red]\(\£#,##0.00\)"/>
      <alignment horizontal="right" vertical="center"/>
    </dxf>
    <dxf>
      <font>
        <name val="Aptos"/>
      </font>
      <numFmt numFmtId="167" formatCode="\£#,##0.00;[Red]\(\£#,##0.00\)"/>
      <alignment horizontal="right" vertical="center"/>
    </dxf>
    <dxf>
      <font>
        <name val="Aptos"/>
      </font>
      <numFmt numFmtId="167" formatCode="\£#,##0.00;[Red]\(\£#,##0.00\)"/>
      <alignment horizontal="right" vertical="center"/>
    </dxf>
    <dxf>
      <font>
        <name val="Aptos"/>
      </font>
      <numFmt numFmtId="167" formatCode="\£#,##0.00;[Red]\(\£#,##0.00\)"/>
      <alignment horizontal="right" vertical="center"/>
    </dxf>
    <dxf>
      <font>
        <name val="Aptos"/>
      </font>
      <numFmt numFmtId="167" formatCode="\£#,##0.00;[Red]\(\£#,##0.00\)"/>
      <alignment vertical="center"/>
    </dxf>
    <dxf>
      <font>
        <name val="Aptos"/>
      </font>
      <alignment vertical="center"/>
    </dxf>
    <dxf>
      <font>
        <name val="Aptos"/>
      </font>
      <alignment vertical="center"/>
    </dxf>
    <dxf>
      <font>
        <name val="Aptos"/>
      </font>
      <numFmt numFmtId="3" formatCode="#,##0"/>
      <alignment vertical="center"/>
    </dxf>
    <dxf>
      <font>
        <name val="Aptos"/>
      </font>
      <numFmt numFmtId="1" formatCode="0"/>
      <alignment vertical="center"/>
    </dxf>
    <dxf>
      <font>
        <name val="Aptos"/>
      </font>
      <alignment vertical="center"/>
    </dxf>
    <dxf>
      <font>
        <name val="Aptos"/>
      </font>
      <alignment vertical="center" wrapText="1"/>
    </dxf>
    <dxf>
      <font>
        <name val="Aptos"/>
      </font>
      <numFmt numFmtId="167" formatCode="\£#,##0.00;[Red]\(\£#,##0.00\)"/>
      <alignment vertical="center"/>
    </dxf>
    <dxf>
      <font>
        <name val="Aptos"/>
      </font>
      <alignment vertical="center"/>
    </dxf>
    <dxf>
      <font>
        <name val="Aptos"/>
      </font>
      <alignment vertical="center"/>
    </dxf>
    <dxf>
      <font>
        <name val="Aptos"/>
      </font>
      <numFmt numFmtId="3" formatCode="#,##0"/>
      <alignment vertical="center"/>
    </dxf>
    <dxf>
      <font>
        <name val="Aptos"/>
      </font>
      <numFmt numFmtId="1" formatCode="0"/>
      <alignment vertical="center"/>
    </dxf>
    <dxf>
      <font>
        <name val="Aptos"/>
      </font>
      <alignment vertical="center"/>
    </dxf>
    <dxf>
      <font>
        <name val="Aptos"/>
      </font>
      <alignment vertical="center" wrapText="1"/>
    </dxf>
    <dxf>
      <font>
        <name val="Aptos"/>
      </font>
      <numFmt numFmtId="3" formatCode="#,##0"/>
      <alignment vertical="center"/>
    </dxf>
    <dxf>
      <font>
        <name val="Aptos"/>
      </font>
      <alignment vertical="center"/>
    </dxf>
    <dxf>
      <font>
        <name val="Aptos"/>
      </font>
      <numFmt numFmtId="3" formatCode="#,##0"/>
      <alignment vertical="center"/>
    </dxf>
    <dxf>
      <font>
        <name val="Aptos"/>
      </font>
      <numFmt numFmtId="1" formatCode="0"/>
      <alignment vertical="center"/>
    </dxf>
    <dxf>
      <font>
        <name val="Aptos"/>
      </font>
      <alignment vertical="center"/>
    </dxf>
    <dxf>
      <font>
        <name val="Aptos"/>
      </font>
      <alignment vertical="center" wrapText="1"/>
    </dxf>
    <dxf>
      <font>
        <name val="Aptos"/>
      </font>
      <numFmt numFmtId="3" formatCode="#,##0"/>
      <alignment vertical="center"/>
    </dxf>
    <dxf>
      <font>
        <name val="Aptos"/>
      </font>
      <alignment vertical="center"/>
    </dxf>
    <dxf>
      <font>
        <name val="Aptos"/>
      </font>
      <alignment vertical="center"/>
    </dxf>
    <dxf>
      <font>
        <name val="Aptos"/>
      </font>
      <alignment vertical="center" wrapText="1"/>
    </dxf>
    <dxf>
      <font>
        <name val="Aptos"/>
      </font>
      <alignment vertical="center"/>
    </dxf>
    <dxf>
      <font>
        <name val="Aptos"/>
      </font>
      <alignment vertical="center"/>
    </dxf>
    <dxf>
      <font>
        <name val="Aptos"/>
      </font>
      <numFmt numFmtId="3" formatCode="#,##0"/>
      <alignment vertical="center"/>
    </dxf>
    <dxf>
      <font>
        <name val="Aptos"/>
      </font>
      <numFmt numFmtId="1" formatCode="0"/>
      <alignment vertical="center"/>
    </dxf>
    <dxf>
      <font>
        <name val="Aptos"/>
      </font>
      <alignment vertical="center"/>
    </dxf>
    <dxf>
      <font>
        <name val="Aptos"/>
      </font>
      <alignment vertical="center" wrapText="1"/>
    </dxf>
    <dxf>
      <font>
        <name val="Aptos"/>
      </font>
      <alignment vertical="center"/>
    </dxf>
    <dxf>
      <font>
        <name val="Aptos"/>
      </font>
      <numFmt numFmtId="30" formatCode="@"/>
      <alignment vertical="center"/>
    </dxf>
    <dxf>
      <font>
        <name val="Aptos"/>
      </font>
      <alignment vertical="center"/>
    </dxf>
    <dxf>
      <font>
        <name val="Aptos"/>
      </font>
      <alignment vertical="center" wrapText="1"/>
    </dxf>
    <dxf>
      <font>
        <name val="Aptos"/>
      </font>
      <numFmt numFmtId="3" formatCode="#,##0"/>
      <alignment vertical="center"/>
    </dxf>
    <dxf>
      <font>
        <name val="Aptos"/>
      </font>
      <numFmt numFmtId="3" formatCode="#,##0"/>
      <alignment vertical="center"/>
    </dxf>
    <dxf>
      <font>
        <name val="Aptos"/>
      </font>
      <alignment vertical="center"/>
    </dxf>
    <dxf>
      <font>
        <name val="Aptos"/>
      </font>
      <numFmt numFmtId="30" formatCode="@"/>
      <alignment vertical="center"/>
    </dxf>
    <dxf>
      <font>
        <name val="Aptos"/>
      </font>
      <alignment vertical="center"/>
    </dxf>
    <dxf>
      <font>
        <name val="Aptos"/>
      </font>
      <alignment vertical="center" wrapText="1"/>
    </dxf>
    <dxf>
      <font>
        <name val="Aptos"/>
      </font>
      <numFmt numFmtId="3" formatCode="#,##0"/>
      <alignment vertical="center"/>
    </dxf>
    <dxf>
      <font>
        <name val="Aptos"/>
      </font>
      <numFmt numFmtId="3" formatCode="#,##0"/>
      <alignment vertical="center"/>
    </dxf>
    <dxf>
      <font>
        <name val="Aptos"/>
      </font>
      <alignment vertical="center"/>
    </dxf>
    <dxf>
      <font>
        <name val="Aptos"/>
      </font>
      <alignment vertical="center"/>
    </dxf>
    <dxf>
      <font>
        <name val="Aptos"/>
      </font>
      <alignment vertical="center" wrapText="1"/>
    </dxf>
    <dxf>
      <font>
        <name val="Aptos"/>
      </font>
      <numFmt numFmtId="3" formatCode="#,##0"/>
      <alignment vertical="center"/>
    </dxf>
    <dxf>
      <font>
        <name val="Aptos"/>
      </font>
      <alignment vertical="center"/>
    </dxf>
    <dxf>
      <font>
        <name val="Aptos"/>
      </font>
      <numFmt numFmtId="3" formatCode="#,##0"/>
      <alignment vertical="center"/>
    </dxf>
    <dxf>
      <font>
        <name val="Aptos"/>
      </font>
      <alignment vertical="center"/>
    </dxf>
    <dxf>
      <font>
        <name val="Aptos"/>
      </font>
      <alignment vertical="center" wrapText="1"/>
    </dxf>
    <dxf>
      <font>
        <name val="Aptos"/>
      </font>
      <numFmt numFmtId="3" formatCode="#,##0"/>
      <alignment vertical="center"/>
    </dxf>
    <dxf>
      <font>
        <name val="Aptos"/>
      </font>
      <numFmt numFmtId="3" formatCode="#,##0"/>
      <alignment vertical="center"/>
    </dxf>
    <dxf>
      <font>
        <name val="Aptos"/>
      </font>
      <alignment vertical="center"/>
    </dxf>
    <dxf>
      <font>
        <name val="Aptos"/>
      </font>
      <alignment vertical="center"/>
    </dxf>
    <dxf>
      <font>
        <name val="Aptos"/>
      </font>
      <numFmt numFmtId="3" formatCode="#,##0"/>
      <alignment vertical="center"/>
    </dxf>
    <dxf>
      <font>
        <name val="Aptos"/>
      </font>
      <numFmt numFmtId="1" formatCode="0"/>
      <alignment vertical="center"/>
    </dxf>
    <dxf>
      <font>
        <name val="Aptos"/>
      </font>
      <alignment vertical="center"/>
    </dxf>
    <dxf>
      <font>
        <name val="Aptos"/>
      </font>
      <alignment vertical="center" wrapText="1"/>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b/>
        <color rgb="FF375623"/>
        <name val="Aptos"/>
      </font>
      <fill>
        <patternFill patternType="solid">
          <fgColor indexed="64"/>
          <bgColor rgb="FFE2F0D9"/>
        </patternFill>
      </fill>
      <alignment vertical="center"/>
    </dxf>
    <dxf>
      <font>
        <name val="Aptos"/>
      </font>
      <numFmt numFmtId="3" formatCode="#,##0"/>
      <alignment vertical="center"/>
    </dxf>
    <dxf>
      <font>
        <name val="Aptos"/>
      </font>
      <alignment vertical="center"/>
    </dxf>
    <dxf>
      <font>
        <name val="Aptos"/>
      </font>
      <alignment vertical="center"/>
    </dxf>
    <dxf>
      <font>
        <name val="Aptos"/>
      </font>
      <alignment vertical="center"/>
    </dxf>
    <dxf>
      <font>
        <b/>
        <color rgb="FF375623"/>
        <name val="Aptos"/>
      </font>
      <fill>
        <patternFill patternType="solid">
          <fgColor indexed="64"/>
          <bgColor rgb="FFE2F0D9"/>
        </patternFill>
      </fill>
      <alignment vertical="center"/>
    </dxf>
    <dxf>
      <font>
        <name val="Aptos"/>
      </font>
      <numFmt numFmtId="167" formatCode="\£#,##0.00;[Red]\(\£#,##0.00\)"/>
      <alignment vertical="center"/>
    </dxf>
    <dxf>
      <font>
        <name val="Aptos"/>
      </font>
      <alignment vertical="center"/>
    </dxf>
    <dxf>
      <font>
        <name val="Aptos"/>
      </font>
      <alignment vertical="center"/>
    </dxf>
    <dxf>
      <font>
        <b/>
        <color rgb="FF375623"/>
        <name val="Aptos"/>
      </font>
      <fill>
        <patternFill patternType="solid">
          <fgColor indexed="64"/>
          <bgColor rgb="FFE2F0D9"/>
        </patternFill>
      </fill>
      <alignment vertical="center"/>
    </dxf>
    <dxf>
      <font>
        <name val="Aptos"/>
      </font>
      <numFmt numFmtId="3" formatCode="#,##0"/>
      <alignment vertical="center"/>
    </dxf>
    <dxf>
      <font>
        <name val="Aptos"/>
      </font>
      <numFmt numFmtId="3" formatCode="#,##0"/>
      <alignment vertical="center"/>
    </dxf>
    <dxf>
      <font>
        <name val="Aptos"/>
      </font>
      <numFmt numFmtId="3" formatCode="#,##0"/>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wrapText="1"/>
    </dxf>
    <dxf>
      <font>
        <name val="Aptos"/>
      </font>
      <alignment vertical="center" wrapText="1"/>
    </dxf>
    <dxf>
      <font>
        <name val="Aptos"/>
      </font>
      <alignment vertical="center" wrapText="1"/>
    </dxf>
    <dxf>
      <font>
        <name val="Aptos"/>
      </font>
      <alignment vertical="center" wrapText="1"/>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wrapText="1"/>
    </dxf>
    <dxf>
      <font>
        <name val="Aptos"/>
      </font>
      <alignment vertical="center" wrapText="1"/>
    </dxf>
    <dxf>
      <font>
        <name val="Aptos"/>
      </font>
      <alignment vertical="center" wrapText="1"/>
    </dxf>
    <dxf>
      <font>
        <name val="Aptos"/>
      </font>
      <alignment vertical="center" wrapText="1"/>
    </dxf>
    <dxf>
      <font>
        <name val="Aptos"/>
      </font>
      <alignment vertical="center" wrapText="1"/>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alignment wrapText="1"/>
    </dxf>
    <dxf>
      <alignment wrapText="1"/>
    </dxf>
    <dxf>
      <alignment wrapText="1"/>
    </dxf>
    <dxf>
      <alignment wrapText="1"/>
    </dxf>
    <dxf>
      <font>
        <b/>
        <color rgb="FF375623"/>
        <name val="Aptos"/>
      </font>
      <fill>
        <patternFill patternType="solid">
          <fgColor indexed="64"/>
          <bgColor rgb="FFE2F0D9"/>
        </patternFill>
      </fill>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5F906A-5EE5-4DE0-AF1C-EAA41345E0B8}" name="tbl_cover_contents" displayName="tbl_cover_contents" ref="A18:B39" totalsRowShown="0" headerRowDxfId="141" dataDxfId="140">
  <autoFilter ref="A18:B39" xr:uid="{175F906A-5EE5-4DE0-AF1C-EAA41345E0B8}">
    <filterColumn colId="0" hiddenButton="1"/>
    <filterColumn colId="1" hiddenButton="1"/>
  </autoFilter>
  <tableColumns count="2">
    <tableColumn id="1" xr3:uid="{D2754582-1753-46B6-953A-9543403A48CC}" name="Sheet" dataDxfId="139"/>
    <tableColumn id="2" xr3:uid="{CBD65F70-6333-4A13-B359-6AC4DE0C2DF5}" name="Purpose" dataDxfId="1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CA84048-05A0-4052-A7A1-4DA0EC97E414}" name="tbl_workbook_index" displayName="tbl_workbook_index" ref="A5:F27" totalsRowShown="0" headerRowDxfId="149" dataDxfId="148">
  <autoFilter ref="A5:F27" xr:uid="{DCA84048-05A0-4052-A7A1-4DA0EC97E414}"/>
  <tableColumns count="6">
    <tableColumn id="1" xr3:uid="{C41CF641-01C6-4EB5-AB8F-7AEF16877E9D}" name="Sheet Name" dataDxfId="147"/>
    <tableColumn id="2" xr3:uid="{E87FFFB6-1901-4FD9-8B72-0F484CB4ABF3}" name="Section" dataDxfId="146"/>
    <tableColumn id="3" xr3:uid="{4E70A323-729E-4274-A121-47E12CFDCF91}" name="Purpose" dataDxfId="145"/>
    <tableColumn id="4" xr3:uid="{D2FC4BDD-2DD6-41B5-8831-7C96DF6697E4}" name="Power BI Used?" dataDxfId="144"/>
    <tableColumn id="5" xr3:uid="{191CC75C-FE47-4530-8115-A346B86395F9}" name="Source / Reference" dataDxfId="143"/>
    <tableColumn id="6" xr3:uid="{B5719C23-3C24-4701-A549-0EAB5BBAADD9}" name="Review Status" dataDxfId="14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FFB146-64BD-49F3-AA46-D6357DFCEEB8}" name="tbl_architecture_flow" displayName="tbl_architecture_flow" ref="A5:D11" totalsRowShown="0" headerRowDxfId="137" dataDxfId="136">
  <autoFilter ref="A5:D11" xr:uid="{13FFB146-64BD-49F3-AA46-D6357DFCEEB8}"/>
  <tableColumns count="4">
    <tableColumn id="1" xr3:uid="{082D1169-3521-4674-96D3-FA7F36A11B57}" name="Step" dataDxfId="135"/>
    <tableColumn id="2" xr3:uid="{525143C2-0528-4404-B7E5-9E1F91547A3E}" name="Layer" dataDxfId="134"/>
    <tableColumn id="3" xr3:uid="{65ADB125-9DAA-48DD-8D6F-B3BBD0D4E030}" name="Purpose" dataDxfId="133"/>
    <tableColumn id="4" xr3:uid="{25A4E476-6126-497A-A9E9-8192965B6BB9}" name="Output" dataDxfId="13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4B8EC9B-1A17-45D4-9B74-D2D2C9F5C31F}" name="tbl_metric_dictionary" displayName="tbl_metric_dictionary" ref="A5:F13" totalsRowShown="0" headerRowDxfId="131" dataDxfId="130">
  <autoFilter ref="A5:F13" xr:uid="{C4B8EC9B-1A17-45D4-9B74-D2D2C9F5C31F}"/>
  <tableColumns count="6">
    <tableColumn id="1" xr3:uid="{AA7E091E-D2C4-4D00-9BA2-472C4A4AFE39}" name="Metric" dataDxfId="129"/>
    <tableColumn id="2" xr3:uid="{F0DAE0F3-76CD-4D20-BC27-D7FD6D3E07B0}" name="Definition" dataDxfId="128"/>
    <tableColumn id="3" xr3:uid="{81E7BDD4-EF1E-4991-9C90-0C8BF39865B7}" name="Formula / Logic" dataDxfId="127"/>
    <tableColumn id="4" xr3:uid="{1FDB35BE-28D3-4B84-B5BD-8435CCFD7CCD}" name="Included Rows" dataDxfId="126"/>
    <tableColumn id="5" xr3:uid="{F36933EA-0863-4B2A-82AF-EBDAD98BD8D3}" name="Excluded Rows" dataDxfId="125"/>
    <tableColumn id="6" xr3:uid="{35D97BBC-82FC-41E2-A8C8-252A5AF099DB}" name="Used In" dataDxfId="12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4601126-3DB9-4FB4-94BC-1C3499CE3AE5}" name="tbl_validation_summary" displayName="tbl_validation_summary" ref="A5:E12" totalsRowShown="0" headerRowDxfId="123" dataDxfId="122">
  <autoFilter ref="A5:E12" xr:uid="{14601126-3DB9-4FB4-94BC-1C3499CE3AE5}"/>
  <tableColumns count="5">
    <tableColumn id="1" xr3:uid="{B28ACAAE-C6F3-4CCF-A3C6-5ACE1CFDD22C}" name="Control" dataDxfId="121"/>
    <tableColumn id="2" xr3:uid="{149D115C-474C-4207-B3B7-2F1D7E89E1AE}" name="Criterion" dataDxfId="120"/>
    <tableColumn id="3" xr3:uid="{0FF3591B-BC90-47AB-B167-9F10D9253B6F}" name="Result" dataDxfId="119"/>
    <tableColumn id="4" xr3:uid="{A6915D18-B994-4669-BE7D-771097196DBA}" name="Status" dataDxfId="118"/>
    <tableColumn id="5" xr3:uid="{DAE8FE34-8EC3-4874-B752-EB10D60913D4}" name="Detail Sheet" dataDxfId="1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9F36ACC-A83B-4864-8590-CD2EEF8D6119}" name="tbl_power_bi_handoff" displayName="tbl_power_bi_handoff" ref="A5:E10" totalsRowShown="0" headerRowDxfId="116" dataDxfId="115">
  <autoFilter ref="A5:E10" xr:uid="{19F36ACC-A83B-4864-8590-CD2EEF8D6119}"/>
  <tableColumns count="5">
    <tableColumn id="1" xr3:uid="{6295E838-452F-4C5E-9407-037C5FBD0D84}" name="Power BI Page" dataDxfId="114"/>
    <tableColumn id="2" xr3:uid="{CF4EC200-F938-47C3-B046-654EA16E5B9F}" name="Excel Source Sheet / Table" dataDxfId="113"/>
    <tableColumn id="3" xr3:uid="{359D239D-9517-4E70-94FB-5898A3C0D933}" name="Main Visuals" dataDxfId="112"/>
    <tableColumn id="4" xr3:uid="{0212F833-5D54-4859-9DB5-64396E706A32}" name="Key Fields" dataDxfId="111"/>
    <tableColumn id="5" xr3:uid="{8843CFDE-8845-4B41-8CB3-9090E47549C9}" name="Purpose" dataDxfId="11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28BF9-DABD-4C7C-ACA7-70917B7B97E0}" name="tbl_dq01_raw_profile" displayName="tbl_dq01_raw_profile" ref="A7:E25" totalsRowShown="0" headerRowDxfId="109" dataDxfId="108">
  <autoFilter ref="A7:E25" xr:uid="{59728BF9-DABD-4C7C-ACA7-70917B7B97E0}"/>
  <tableColumns count="5">
    <tableColumn id="1" xr3:uid="{91A23119-9514-4898-9B94-ABE70420851D}" name="Category" dataDxfId="107"/>
    <tableColumn id="2" xr3:uid="{9374E6B8-ED50-4B2D-A88D-447EE04F0ADA}" name="Metric" dataDxfId="106"/>
    <tableColumn id="3" xr3:uid="{999703BC-9593-4847-853D-941154257403}" name="Value" dataDxfId="105"/>
    <tableColumn id="4" xr3:uid="{61295C1C-7FB5-481F-A322-524EBDE48A2C}" name="Unit" dataDxfId="104"/>
    <tableColumn id="5" xr3:uid="{1E6E241C-678C-43B2-8561-7272C830863D}" name="Status" dataDxfId="10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EA3CBA-1D3D-4694-AC54-BEFA3FBA84E6}" name="tbl_dq02_row_reconciliation" displayName="tbl_dq02_row_reconciliation" ref="A7:D8" totalsRowShown="0" headerRowDxfId="102" dataDxfId="101">
  <autoFilter ref="A7:D8" xr:uid="{1DEA3CBA-1D3D-4694-AC54-BEFA3FBA84E6}"/>
  <tableColumns count="4">
    <tableColumn id="1" xr3:uid="{8568DC7B-D8A0-4DF6-BB15-FB6017700915}" name="Staging Rows" dataDxfId="100"/>
    <tableColumn id="2" xr3:uid="{5F24C45A-096E-492E-A96A-FF2BA72F1415}" name="Fact Rows" dataDxfId="99"/>
    <tableColumn id="3" xr3:uid="{F2CB7089-3975-4F2F-8004-7ED9EEE431F6}" name="Difference" dataDxfId="98">
      <calculatedColumnFormula>B8-A8</calculatedColumnFormula>
    </tableColumn>
    <tableColumn id="4" xr3:uid="{4DD54D3A-49FE-4E18-A027-CCEBBC4C3767}" name="Status" dataDxfId="97">
      <calculatedColumnFormula>IF(C8=0,"PASS","FAIL")</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93EEBB-901C-4CEE-A67B-68FD542A2246}" name="tbl_dq03_revenue_reconciliation" displayName="tbl_dq03_revenue_reconciliation" ref="A7:D8" totalsRowShown="0" headerRowDxfId="96" dataDxfId="95">
  <autoFilter ref="A7:D8" xr:uid="{1893EEBB-901C-4CEE-A67B-68FD542A2246}"/>
  <tableColumns count="4">
    <tableColumn id="1" xr3:uid="{D30F8BE8-3246-44EB-9103-FCFDA9CDCD92}" name="Staging Revenue" dataDxfId="23"/>
    <tableColumn id="2" xr3:uid="{4A9DB27F-5D02-4716-B0B5-0915F8028B70}" name="Fact Revenue" dataDxfId="22"/>
    <tableColumn id="3" xr3:uid="{4E40C860-2204-4110-AAB1-AB7971049847}" name="Difference" dataDxfId="94">
      <calculatedColumnFormula>B8-A8</calculatedColumnFormula>
    </tableColumn>
    <tableColumn id="4" xr3:uid="{8C6A66A8-9243-4A00-BBF9-32CF97917A2C}" name="Status" dataDxfId="93">
      <calculatedColumnFormula>IF(ABS(C8)&lt;0.01,"PASS","FAIL")</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DB8B3E-820C-4676-9D06-03785E36A192}" name="tbl_dq04_orphan_key_check" displayName="tbl_dq04_orphan_key_check" ref="A7:C10" totalsRowShown="0" headerRowDxfId="92" dataDxfId="91">
  <autoFilter ref="A7:C10" xr:uid="{00DB8B3E-820C-4676-9D06-03785E36A192}"/>
  <tableColumns count="3">
    <tableColumn id="1" xr3:uid="{C07EDA00-4FAE-4F26-953B-F57F4FE335F6}" name="Validation Rule" dataDxfId="90"/>
    <tableColumn id="2" xr3:uid="{1A41B77C-7801-477B-9376-C74FCA6822B3}" name="Result" dataDxfId="89"/>
    <tableColumn id="3" xr3:uid="{B54C9139-9F03-4E4E-9B11-AF288B333E74}" name="Status" dataDxfId="88">
      <calculatedColumnFormula>IF(B8=0,"PASS","FAIL")</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8279D5-8655-4718-A860-D05D56E4971E}" name="tbl_dq05_cancellation_profile" displayName="tbl_dq05_cancellation_profile" ref="A7:D12" totalsRowShown="0" headerRowDxfId="87" dataDxfId="86">
  <autoFilter ref="A7:D12" xr:uid="{CB8279D5-8655-4718-A860-D05D56E4971E}"/>
  <tableColumns count="4">
    <tableColumn id="1" xr3:uid="{668671BE-F91A-4116-BFC0-39710CD0B0B2}" name="Metric" dataDxfId="85"/>
    <tableColumn id="2" xr3:uid="{B1596141-6BA1-4FF4-83AE-892CC1FE4364}" name="Value" dataDxfId="84"/>
    <tableColumn id="3" xr3:uid="{425D1EBD-6B91-493C-97CA-2871C4509497}" name="Unit" dataDxfId="83"/>
    <tableColumn id="4" xr3:uid="{F4868A22-74EB-4C37-9714-6A3E89989965}" name="Status" dataDxfId="82"/>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86D020A-5F42-4440-B053-9339433EF665}" name="tbl_q01_monthly_revenue" displayName="tbl_q01_monthly_revenue" ref="A7:I32" totalsRowShown="0" headerRowDxfId="81" dataDxfId="80">
  <autoFilter ref="A7:I32" xr:uid="{F86D020A-5F42-4440-B053-9339433EF665}"/>
  <tableColumns count="9">
    <tableColumn id="1" xr3:uid="{4930AEB0-F8C3-4723-BED0-87A7194908B6}" name="Year" dataDxfId="79"/>
    <tableColumn id="2" xr3:uid="{AD88677C-5B1C-49BB-9B26-1244DF58738F}" name="Month Num" dataDxfId="78"/>
    <tableColumn id="3" xr3:uid="{B07D4984-93D4-4F49-A19B-7C842623F33C}" name="Month Name" dataDxfId="77"/>
    <tableColumn id="4" xr3:uid="{ACAFCFEC-F4BA-4FB0-A9A8-E28ED4DBE62B}" name="Year Month" dataDxfId="76"/>
    <tableColumn id="5" xr3:uid="{B2E83901-62E0-4543-BD37-F329F1AE6613}" name="Gross Revenue" dataDxfId="21"/>
    <tableColumn id="6" xr3:uid="{55F30AEF-841D-425B-9D34-5DFFA339AE98}" name="Net Revenue" dataDxfId="20"/>
    <tableColumn id="7" xr3:uid="{3C6692A9-A6DB-4B43-A7CE-16B5F49CCFBB}" name="Orders" dataDxfId="75"/>
    <tableColumn id="8" xr3:uid="{9FFB9472-6E40-4970-A777-0B32F08C7518}" name="Units" dataDxfId="74"/>
    <tableColumn id="9" xr3:uid="{EEC702F7-B86E-4D04-8F3C-890D84E8C552}" name="Avg Order Value" dataDxfId="19"/>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2A35341-8E44-410C-8871-A0EA9658CD5E}" name="tbl_q02_top_customers" displayName="tbl_q02_top_customers" ref="A7:F17" totalsRowShown="0" headerRowDxfId="73" dataDxfId="72">
  <autoFilter ref="A7:F17" xr:uid="{42A35341-8E44-410C-8871-A0EA9658CD5E}"/>
  <tableColumns count="6">
    <tableColumn id="1" xr3:uid="{25573B42-B0FE-4457-B74E-549DBDF450F6}" name="Customer Id" dataDxfId="71"/>
    <tableColumn id="2" xr3:uid="{B3CD2FD8-FEA7-4823-8EB9-8BC286B61C59}" name="Customer Segment" dataDxfId="70"/>
    <tableColumn id="3" xr3:uid="{94ACE1C9-AE01-4AD0-BFB8-F1CE74F4C7A2}" name="Revenue" dataDxfId="18"/>
    <tableColumn id="4" xr3:uid="{448A4D4C-8A03-4DED-9098-CEB4535FE2D7}" name="Orders" dataDxfId="69"/>
    <tableColumn id="5" xr3:uid="{7669B827-CE75-4086-81D1-FCE218C641CE}" name="Avg Order Value" dataDxfId="17"/>
    <tableColumn id="6" xr3:uid="{0909DC18-AC8F-4573-83D5-DEAB3042C16F}" name="Revenue Share %" dataDxfId="16"/>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3FFD2AF-68BD-425B-B7B5-357DB366AE2A}" name="tbl_q03_product_category" displayName="tbl_q03_product_category" ref="A7:E16" totalsRowShown="0" headerRowDxfId="68" dataDxfId="67">
  <autoFilter ref="A7:E16" xr:uid="{B3FFD2AF-68BD-425B-B7B5-357DB366AE2A}"/>
  <tableColumns count="5">
    <tableColumn id="1" xr3:uid="{824867BB-B3B2-4C1A-A2EE-1737D9989B9E}" name="Category" dataDxfId="66"/>
    <tableColumn id="2" xr3:uid="{5850B398-7713-45DF-A74E-A9FFD924D7A8}" name="Revenue" dataDxfId="15"/>
    <tableColumn id="3" xr3:uid="{68069B12-2211-4E47-8BB9-F109E534BE31}" name="Units" dataDxfId="65"/>
    <tableColumn id="4" xr3:uid="{45F0FA1D-890D-4278-8FCC-85F901CEA5BF}" name="Product Count" dataDxfId="64"/>
    <tableColumn id="5" xr3:uid="{A1512093-7422-41D8-AA77-BDF4854CC34E}" name="Revenue Share %" dataDxfId="1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577843A-7524-4999-9E2A-FAE530F6609E}" name="tbl_q04_country_performance" displayName="tbl_q04_country_performance" ref="A7:F48" totalsRowShown="0" headerRowDxfId="63" dataDxfId="62">
  <autoFilter ref="A7:F48" xr:uid="{2577843A-7524-4999-9E2A-FAE530F6609E}"/>
  <tableColumns count="6">
    <tableColumn id="1" xr3:uid="{C6D43B7B-CB45-45B0-813E-464D1A0FB71B}" name="Country Name" dataDxfId="61"/>
    <tableColumn id="2" xr3:uid="{14998E2B-EC78-4013-9B81-FAE1158F015C}" name="Region" dataDxfId="60"/>
    <tableColumn id="3" xr3:uid="{0804F528-1D03-4BD4-83CC-8D3502694C3B}" name="Active Customers" dataDxfId="59"/>
    <tableColumn id="4" xr3:uid="{3570459D-521F-4320-AFBA-3C2B948021B0}" name="Invoices" dataDxfId="58"/>
    <tableColumn id="5" xr3:uid="{AE1DF6D7-0C54-483D-901C-04D094EB5AAB}" name="Revenue" dataDxfId="13"/>
    <tableColumn id="6" xr3:uid="{E969875B-524F-4AB8-89C5-8CA243F6823F}" name="Revenue Per Customer" dataDxfId="12"/>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8EE9AD2-6515-4A52-9FBC-922602908DC2}" name="tbl_q05_cancellation_analysis" displayName="tbl_q05_cancellation_analysis" ref="A7:E50" totalsRowShown="0" headerRowDxfId="57" dataDxfId="56">
  <autoFilter ref="A7:E50" xr:uid="{C8EE9AD2-6515-4A52-9FBC-922602908DC2}"/>
  <tableColumns count="5">
    <tableColumn id="1" xr3:uid="{97757507-767E-4003-A55D-91031C14C2B3}" name="Country Name" dataDxfId="55"/>
    <tableColumn id="2" xr3:uid="{D21446B1-A31A-4ACD-B524-E2B53D7936D7}" name="Region" dataDxfId="54"/>
    <tableColumn id="3" xr3:uid="{12562F8E-4C37-434D-8DA4-1E8D33F7A849}" name="Cancelled Value" dataDxfId="11"/>
    <tableColumn id="4" xr3:uid="{BDCFB0B8-3720-465B-8178-29688F5CD1EF}" name="Gross Sales Value" dataDxfId="10"/>
    <tableColumn id="5" xr3:uid="{85C1F658-593D-400F-BE44-D752A31D416E}" name="Cancellation Rate" dataDxfId="9"/>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492336-0969-44FA-952B-ACEC08869F1E}" name="tbl_q06_running_revenue" displayName="tbl_q06_running_revenue" ref="A7:F32" totalsRowShown="0" headerRowDxfId="53" dataDxfId="52">
  <autoFilter ref="A7:F32" xr:uid="{96492336-0969-44FA-952B-ACEC08869F1E}"/>
  <tableColumns count="6">
    <tableColumn id="1" xr3:uid="{1E90BEDB-C595-4587-B0C7-3D0FC8B6F936}" name="Year" dataDxfId="51"/>
    <tableColumn id="2" xr3:uid="{67FE28CE-07FC-4DF8-9133-F6ACF663DFF8}" name="Month Num" dataDxfId="50"/>
    <tableColumn id="3" xr3:uid="{6F1BEE6B-0C6B-43B7-8621-0EE8A82D4D8E}" name="Month Name" dataDxfId="49"/>
    <tableColumn id="4" xr3:uid="{85089EDD-5218-45A7-9550-AC152B23FD3A}" name="Year Month" dataDxfId="48"/>
    <tableColumn id="5" xr3:uid="{1C7148AF-4D87-41AC-B752-DE312EA01769}" name="Monthly Revenue" dataDxfId="8"/>
    <tableColumn id="6" xr3:uid="{A37F6806-0E2F-4F50-99AA-C8572FA37D98}" name="Running Total Revenue" dataDxfId="7"/>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83CCCC3-FA55-4CAC-8888-9D8FA8656395}" name="tbl_q07_customer_cohorts" displayName="tbl_q07_customer_cohorts" ref="A7:D32" totalsRowShown="0" headerRowDxfId="47" dataDxfId="46">
  <autoFilter ref="A7:D32" xr:uid="{883CCCC3-FA55-4CAC-8888-9D8FA8656395}"/>
  <tableColumns count="4">
    <tableColumn id="1" xr3:uid="{510184B3-117A-478E-8318-6E4F555B64BF}" name="Cohort Month" dataDxfId="45"/>
    <tableColumn id="2" xr3:uid="{73469D27-FE64-4B1B-9E7D-5016B3409ACB}" name="Cohort Customers" dataDxfId="44"/>
    <tableColumn id="3" xr3:uid="{8CAA0EE6-B85E-4F61-A766-8EB93B579778}" name="Total Revenue To Date" dataDxfId="6"/>
    <tableColumn id="4" xr3:uid="{E5B73647-EBD0-4D21-A0CC-383E1322C260}" name="Revenue Per Customer" dataDxfId="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B05049E-3C46-4611-B900-D91BF3803E3D}" name="tbl_q08_regional_ranking" displayName="tbl_q08_regional_ranking" ref="A7:E50" totalsRowShown="0" headerRowDxfId="43" dataDxfId="42">
  <autoFilter ref="A7:E50" xr:uid="{4B05049E-3C46-4611-B900-D91BF3803E3D}"/>
  <tableColumns count="5">
    <tableColumn id="1" xr3:uid="{A740BB6B-DC93-44DD-82B5-DABC24659B5E}" name="Year" dataDxfId="41"/>
    <tableColumn id="2" xr3:uid="{9B61975E-BDCA-4CE6-ADEE-000D38389334}" name="Quarter" dataDxfId="40"/>
    <tableColumn id="3" xr3:uid="{A19E839B-56EB-41DE-8193-7E6522F899BD}" name="Region" dataDxfId="39"/>
    <tableColumn id="4" xr3:uid="{C53E59B7-327B-4A69-9BC4-DDD3D9341369}" name="Revenue" dataDxfId="4"/>
    <tableColumn id="5" xr3:uid="{29DD88F0-E1CE-484E-9606-2F724530EC04}" name="Region Rank" dataDxfId="38"/>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3FDCE36-FADA-4DA7-82A9-9823FEAB7368}" name="tbl_q09_mom_growth" displayName="tbl_q09_mom_growth" ref="A7:H32" totalsRowShown="0" headerRowDxfId="37" dataDxfId="36">
  <autoFilter ref="A7:H32" xr:uid="{63FDCE36-FADA-4DA7-82A9-9823FEAB7368}"/>
  <tableColumns count="8">
    <tableColumn id="1" xr3:uid="{64CCEFF6-5969-4C17-A319-563D345B1622}" name="Year" dataDxfId="35"/>
    <tableColumn id="2" xr3:uid="{072FA99F-3196-4CA1-8E4D-62D82AABF965}" name="Month Num" dataDxfId="34"/>
    <tableColumn id="3" xr3:uid="{7243EF48-7986-4822-8EEF-1DB190C87421}" name="Month Name" dataDxfId="33"/>
    <tableColumn id="4" xr3:uid="{86E07511-931C-4B60-AC89-9A3A14796182}" name="Year Month" dataDxfId="32"/>
    <tableColumn id="5" xr3:uid="{C3CD8AEF-07FB-4C17-8527-F4489280E697}" name="Revenue" dataDxfId="3"/>
    <tableColumn id="6" xr3:uid="{E49FF235-3908-42F3-B3AD-C8E874C82DAE}" name="Prior Month Revenue" dataDxfId="2"/>
    <tableColumn id="7" xr3:uid="{5D66B4E0-2B71-439E-A54B-8F6A0099820E}" name="Absolute Change" dataDxfId="31"/>
    <tableColumn id="8" xr3:uid="{F7FA5439-FF08-4B93-B9D4-4C453E535F19}" name="Pct Change" dataDxfId="1"/>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9D3977-B20C-45E7-9CF3-9F0FB701495D}" name="tbl_q10_rolling_revenue" displayName="tbl_q10_rolling_revenue" ref="A7:F32" totalsRowShown="0" headerRowDxfId="30" dataDxfId="29">
  <autoFilter ref="A7:F32" xr:uid="{159D3977-B20C-45E7-9CF3-9F0FB701495D}"/>
  <tableColumns count="6">
    <tableColumn id="1" xr3:uid="{300E66D8-56F0-4BC7-A001-9B037F7F3811}" name="Year" dataDxfId="28"/>
    <tableColumn id="2" xr3:uid="{AF71CE34-34FB-4B3D-910F-D00708743723}" name="Month Num" dataDxfId="27"/>
    <tableColumn id="3" xr3:uid="{3F2D6076-F71D-4081-991C-ED93CD43C2B2}" name="Month Name" dataDxfId="26"/>
    <tableColumn id="4" xr3:uid="{E9F5F782-FFEB-47D2-8311-D1FA6B7D74DB}" name="Year Month" dataDxfId="25"/>
    <tableColumn id="5" xr3:uid="{BEC4ED2E-AD6C-43C3-A3B0-5D702AFBBB59}" name="Revenue" dataDxfId="0"/>
    <tableColumn id="6" xr3:uid="{6F129EA2-36C8-40A3-9639-3EC6624F2529}" name="Rolling 3 Month Avg" dataDxfId="2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outlinePr summaryBelow="0" summaryRight="0"/>
  </sheetPr>
  <dimension ref="A1:H125"/>
  <sheetViews>
    <sheetView showGridLines="0" workbookViewId="0">
      <pane ySplit="1" topLeftCell="A27" activePane="bottomLeft" state="frozen"/>
      <selection pane="bottomLeft" activeCell="A4" sqref="A4:XFD4"/>
    </sheetView>
  </sheetViews>
  <sheetFormatPr defaultColWidth="12.6328125" defaultRowHeight="15.75" customHeight="1" x14ac:dyDescent="0.25"/>
  <cols>
    <col min="1" max="1" width="23.6328125" customWidth="1"/>
    <col min="2" max="2" width="36.36328125" customWidth="1"/>
    <col min="3" max="3" width="11.81640625" customWidth="1"/>
    <col min="4" max="4" width="18.1796875" customWidth="1"/>
    <col min="5" max="5" width="11.81640625" customWidth="1"/>
    <col min="6" max="6" width="18.1796875" customWidth="1"/>
    <col min="7" max="7" width="11.81640625" customWidth="1"/>
    <col min="8" max="8" width="18.1796875" customWidth="1"/>
  </cols>
  <sheetData>
    <row r="1" spans="1:8" ht="23.5" x14ac:dyDescent="0.25">
      <c r="A1" s="11" t="s">
        <v>501</v>
      </c>
      <c r="B1" s="11"/>
      <c r="C1" s="11"/>
      <c r="D1" s="11"/>
      <c r="E1" s="11"/>
      <c r="F1" s="11"/>
      <c r="G1" s="11"/>
      <c r="H1" s="11"/>
    </row>
    <row r="2" spans="1:8" ht="13" x14ac:dyDescent="0.25">
      <c r="A2" s="12" t="s">
        <v>166</v>
      </c>
      <c r="B2" s="12"/>
      <c r="C2" s="12"/>
      <c r="D2" s="12"/>
      <c r="E2" s="12"/>
      <c r="F2" s="12"/>
      <c r="G2" s="12"/>
      <c r="H2" s="12"/>
    </row>
    <row r="3" spans="1:8" ht="13" x14ac:dyDescent="0.25">
      <c r="A3" s="2"/>
      <c r="B3" s="2"/>
      <c r="C3" s="2"/>
      <c r="D3" s="2"/>
      <c r="E3" s="2"/>
      <c r="F3" s="2"/>
      <c r="G3" s="2"/>
      <c r="H3" s="2"/>
    </row>
    <row r="4" spans="1:8" ht="13" x14ac:dyDescent="0.25">
      <c r="A4" s="13" t="s">
        <v>94</v>
      </c>
      <c r="B4" s="13"/>
      <c r="C4" s="13"/>
      <c r="D4" s="13"/>
      <c r="E4" s="13"/>
      <c r="F4" s="13"/>
      <c r="G4" s="13"/>
      <c r="H4" s="13"/>
    </row>
    <row r="5" spans="1:8" ht="12.5" x14ac:dyDescent="0.25">
      <c r="A5" s="14" t="s">
        <v>502</v>
      </c>
      <c r="B5" s="14"/>
      <c r="C5" s="14"/>
      <c r="D5" s="14"/>
      <c r="E5" s="14"/>
      <c r="F5" s="14"/>
      <c r="G5" s="14"/>
      <c r="H5" s="14"/>
    </row>
    <row r="6" spans="1:8" ht="12.5" x14ac:dyDescent="0.25">
      <c r="A6" s="14"/>
      <c r="B6" s="14"/>
      <c r="C6" s="14"/>
      <c r="D6" s="14"/>
      <c r="E6" s="14"/>
      <c r="F6" s="14"/>
      <c r="G6" s="14"/>
      <c r="H6" s="14"/>
    </row>
    <row r="7" spans="1:8" ht="13" x14ac:dyDescent="0.25">
      <c r="A7" s="2"/>
      <c r="B7" s="2"/>
      <c r="C7" s="2"/>
      <c r="D7" s="2"/>
      <c r="E7" s="2"/>
      <c r="F7" s="2"/>
      <c r="G7" s="2"/>
      <c r="H7" s="2"/>
    </row>
    <row r="8" spans="1:8" ht="13" x14ac:dyDescent="0.25">
      <c r="A8" s="13" t="s">
        <v>167</v>
      </c>
      <c r="B8" s="13"/>
      <c r="C8" s="13"/>
      <c r="D8" s="13"/>
      <c r="E8" s="13"/>
      <c r="F8" s="13"/>
      <c r="G8" s="13"/>
      <c r="H8" s="13"/>
    </row>
    <row r="9" spans="1:8" ht="13" x14ac:dyDescent="0.25">
      <c r="A9" s="2"/>
      <c r="B9" s="2"/>
      <c r="C9" s="2"/>
      <c r="D9" s="2"/>
      <c r="E9" s="2"/>
      <c r="F9" s="2"/>
      <c r="G9" s="2"/>
      <c r="H9" s="2"/>
    </row>
    <row r="10" spans="1:8" ht="52" x14ac:dyDescent="0.25">
      <c r="A10" s="4" t="s">
        <v>168</v>
      </c>
      <c r="B10" s="3" t="s">
        <v>169</v>
      </c>
      <c r="C10" s="4" t="s">
        <v>171</v>
      </c>
      <c r="D10" s="3" t="s">
        <v>172</v>
      </c>
      <c r="E10" s="4" t="s">
        <v>487</v>
      </c>
      <c r="F10" s="3" t="s">
        <v>170</v>
      </c>
      <c r="G10" s="4" t="s">
        <v>488</v>
      </c>
      <c r="H10" s="3" t="s">
        <v>489</v>
      </c>
    </row>
    <row r="11" spans="1:8" ht="26" x14ac:dyDescent="0.25">
      <c r="A11" s="4" t="s">
        <v>173</v>
      </c>
      <c r="B11" s="3" t="s">
        <v>174</v>
      </c>
      <c r="C11" s="4" t="s">
        <v>175</v>
      </c>
      <c r="D11" s="3" t="s">
        <v>176</v>
      </c>
      <c r="E11" s="4" t="s">
        <v>490</v>
      </c>
      <c r="F11" s="3" t="s">
        <v>491</v>
      </c>
      <c r="G11" s="4" t="s">
        <v>177</v>
      </c>
      <c r="H11" s="3" t="s">
        <v>178</v>
      </c>
    </row>
    <row r="12" spans="1:8" ht="26" x14ac:dyDescent="0.25">
      <c r="A12" s="4" t="s">
        <v>464</v>
      </c>
      <c r="B12" s="3" t="s">
        <v>465</v>
      </c>
      <c r="C12" s="4" t="s">
        <v>179</v>
      </c>
      <c r="D12" s="3" t="s">
        <v>503</v>
      </c>
      <c r="E12" s="4" t="s">
        <v>492</v>
      </c>
      <c r="F12" s="19" t="s">
        <v>494</v>
      </c>
      <c r="G12" s="4" t="s">
        <v>493</v>
      </c>
      <c r="H12" s="19" t="s">
        <v>495</v>
      </c>
    </row>
    <row r="13" spans="1:8" ht="22" customHeight="1" x14ac:dyDescent="0.25">
      <c r="A13" s="20" t="s">
        <v>496</v>
      </c>
      <c r="B13" s="20"/>
      <c r="C13" s="20"/>
      <c r="D13" s="20"/>
      <c r="E13" s="20"/>
      <c r="F13" s="20"/>
      <c r="G13" s="20"/>
      <c r="H13" s="20"/>
    </row>
    <row r="14" spans="1:8" ht="24" customHeight="1" x14ac:dyDescent="0.25">
      <c r="A14" s="24" t="s">
        <v>497</v>
      </c>
      <c r="B14" s="22"/>
      <c r="C14" s="22"/>
      <c r="D14" s="22"/>
      <c r="E14" s="22"/>
      <c r="F14" s="22"/>
      <c r="G14" s="22"/>
      <c r="H14" s="27"/>
    </row>
    <row r="15" spans="1:8" ht="24" customHeight="1" x14ac:dyDescent="0.25">
      <c r="A15" s="25"/>
      <c r="B15" s="21"/>
      <c r="C15" s="21"/>
      <c r="D15" s="21"/>
      <c r="E15" s="21"/>
      <c r="F15" s="21"/>
      <c r="G15" s="21"/>
      <c r="H15" s="28"/>
    </row>
    <row r="16" spans="1:8" ht="24" customHeight="1" x14ac:dyDescent="0.25">
      <c r="A16" s="26"/>
      <c r="B16" s="23"/>
      <c r="C16" s="23"/>
      <c r="D16" s="23"/>
      <c r="E16" s="23"/>
      <c r="F16" s="23"/>
      <c r="G16" s="23"/>
      <c r="H16" s="29"/>
    </row>
    <row r="17" spans="1:8" ht="13" x14ac:dyDescent="0.25">
      <c r="A17" s="13" t="s">
        <v>161</v>
      </c>
      <c r="B17" s="13"/>
      <c r="C17" s="13"/>
      <c r="D17" s="13"/>
      <c r="E17" s="13"/>
      <c r="F17" s="13"/>
      <c r="G17" s="13"/>
      <c r="H17" s="13"/>
    </row>
    <row r="18" spans="1:8" ht="13" x14ac:dyDescent="0.25">
      <c r="A18" s="1" t="s">
        <v>481</v>
      </c>
      <c r="B18" s="1" t="s">
        <v>95</v>
      </c>
      <c r="C18" s="2"/>
      <c r="D18" s="2"/>
      <c r="E18" s="2"/>
      <c r="F18" s="2"/>
      <c r="G18" s="2"/>
      <c r="H18" s="2"/>
    </row>
    <row r="19" spans="1:8" ht="13" x14ac:dyDescent="0.25">
      <c r="A19" s="1" t="s">
        <v>180</v>
      </c>
      <c r="B19" s="1" t="s">
        <v>271</v>
      </c>
      <c r="C19" s="2"/>
      <c r="D19" s="2"/>
      <c r="E19" s="2"/>
      <c r="F19" s="2"/>
      <c r="G19" s="2"/>
      <c r="H19" s="2"/>
    </row>
    <row r="20" spans="1:8" ht="13" x14ac:dyDescent="0.25">
      <c r="A20" s="1" t="s">
        <v>181</v>
      </c>
      <c r="B20" s="1" t="s">
        <v>274</v>
      </c>
      <c r="C20" s="2"/>
      <c r="D20" s="2"/>
      <c r="E20" s="2"/>
      <c r="F20" s="2"/>
      <c r="G20" s="2"/>
      <c r="H20" s="2"/>
    </row>
    <row r="21" spans="1:8" ht="25" x14ac:dyDescent="0.25">
      <c r="A21" s="1" t="s">
        <v>275</v>
      </c>
      <c r="B21" s="1" t="s">
        <v>276</v>
      </c>
      <c r="C21" s="2"/>
      <c r="D21" s="2"/>
      <c r="E21" s="2"/>
      <c r="F21" s="2"/>
      <c r="G21" s="2"/>
      <c r="H21" s="2"/>
    </row>
    <row r="22" spans="1:8" ht="13" x14ac:dyDescent="0.25">
      <c r="A22" s="1" t="s">
        <v>182</v>
      </c>
      <c r="B22" s="1" t="s">
        <v>278</v>
      </c>
      <c r="C22" s="2"/>
      <c r="D22" s="2"/>
      <c r="E22" s="2"/>
      <c r="F22" s="2"/>
      <c r="G22" s="2"/>
      <c r="H22" s="2"/>
    </row>
    <row r="23" spans="1:8" ht="13" x14ac:dyDescent="0.25">
      <c r="A23" s="1" t="s">
        <v>183</v>
      </c>
      <c r="B23" s="1" t="s">
        <v>279</v>
      </c>
      <c r="C23" s="2"/>
      <c r="D23" s="2"/>
      <c r="E23" s="2"/>
      <c r="F23" s="2"/>
      <c r="G23" s="2"/>
      <c r="H23" s="2"/>
    </row>
    <row r="24" spans="1:8" ht="12.5" x14ac:dyDescent="0.25">
      <c r="A24" s="1" t="s">
        <v>184</v>
      </c>
      <c r="B24" s="1" t="s">
        <v>282</v>
      </c>
    </row>
    <row r="25" spans="1:8" ht="12.5" x14ac:dyDescent="0.25">
      <c r="A25" s="1" t="s">
        <v>284</v>
      </c>
      <c r="B25" s="1" t="s">
        <v>285</v>
      </c>
    </row>
    <row r="26" spans="1:8" ht="12.5" x14ac:dyDescent="0.25">
      <c r="A26" s="1" t="s">
        <v>286</v>
      </c>
      <c r="B26" s="1" t="s">
        <v>287</v>
      </c>
    </row>
    <row r="27" spans="1:8" ht="25" x14ac:dyDescent="0.25">
      <c r="A27" s="1" t="s">
        <v>288</v>
      </c>
      <c r="B27" s="1" t="s">
        <v>289</v>
      </c>
    </row>
    <row r="28" spans="1:8" ht="12.5" x14ac:dyDescent="0.25">
      <c r="A28" s="1" t="s">
        <v>290</v>
      </c>
      <c r="B28" s="1" t="s">
        <v>291</v>
      </c>
    </row>
    <row r="29" spans="1:8" ht="12.5" x14ac:dyDescent="0.25">
      <c r="A29" s="1" t="s">
        <v>292</v>
      </c>
      <c r="B29" s="1" t="s">
        <v>97</v>
      </c>
    </row>
    <row r="30" spans="1:8" ht="12.5" x14ac:dyDescent="0.25">
      <c r="A30" s="1" t="s">
        <v>293</v>
      </c>
      <c r="B30" s="1" t="s">
        <v>431</v>
      </c>
    </row>
    <row r="31" spans="1:8" ht="25" x14ac:dyDescent="0.25">
      <c r="A31" s="1" t="s">
        <v>295</v>
      </c>
      <c r="B31" s="1" t="s">
        <v>432</v>
      </c>
    </row>
    <row r="32" spans="1:8" ht="25" x14ac:dyDescent="0.25">
      <c r="A32" s="1" t="s">
        <v>297</v>
      </c>
      <c r="B32" s="1" t="s">
        <v>433</v>
      </c>
    </row>
    <row r="33" spans="1:2" ht="12.5" x14ac:dyDescent="0.25">
      <c r="A33" s="1" t="s">
        <v>298</v>
      </c>
      <c r="B33" s="1" t="s">
        <v>434</v>
      </c>
    </row>
    <row r="34" spans="1:2" ht="12.5" x14ac:dyDescent="0.25">
      <c r="A34" s="1" t="s">
        <v>300</v>
      </c>
      <c r="B34" s="1" t="s">
        <v>435</v>
      </c>
    </row>
    <row r="35" spans="1:2" ht="12.5" x14ac:dyDescent="0.25">
      <c r="A35" s="1" t="s">
        <v>302</v>
      </c>
      <c r="B35" s="1" t="s">
        <v>436</v>
      </c>
    </row>
    <row r="36" spans="1:2" ht="25" x14ac:dyDescent="0.25">
      <c r="A36" s="1" t="s">
        <v>304</v>
      </c>
      <c r="B36" s="1" t="s">
        <v>437</v>
      </c>
    </row>
    <row r="37" spans="1:2" ht="12.5" x14ac:dyDescent="0.25">
      <c r="A37" s="1" t="s">
        <v>306</v>
      </c>
      <c r="B37" s="1" t="s">
        <v>438</v>
      </c>
    </row>
    <row r="38" spans="1:2" ht="12.5" x14ac:dyDescent="0.25">
      <c r="A38" s="1" t="s">
        <v>308</v>
      </c>
      <c r="B38" s="1" t="s">
        <v>439</v>
      </c>
    </row>
    <row r="39" spans="1:2" ht="12.5" x14ac:dyDescent="0.25">
      <c r="A39" s="1" t="s">
        <v>310</v>
      </c>
      <c r="B39" s="1" t="s">
        <v>440</v>
      </c>
    </row>
    <row r="40" spans="1:2" ht="12.5" x14ac:dyDescent="0.25"/>
    <row r="41" spans="1:2" ht="12.5" x14ac:dyDescent="0.25"/>
    <row r="42" spans="1:2" ht="12.5" x14ac:dyDescent="0.25"/>
    <row r="43" spans="1:2" ht="12.5" x14ac:dyDescent="0.25"/>
    <row r="44" spans="1:2" ht="12.5" x14ac:dyDescent="0.25"/>
    <row r="45" spans="1:2" ht="12.5" x14ac:dyDescent="0.25"/>
    <row r="46" spans="1:2" ht="12.5" x14ac:dyDescent="0.25"/>
    <row r="47" spans="1:2" ht="12.5" x14ac:dyDescent="0.25"/>
    <row r="48" spans="1:2" ht="12.5" x14ac:dyDescent="0.25"/>
    <row r="49" ht="12.5" x14ac:dyDescent="0.25"/>
    <row r="50" ht="12.5" x14ac:dyDescent="0.25"/>
    <row r="51" ht="12.5" x14ac:dyDescent="0.25"/>
    <row r="52" ht="12.5" x14ac:dyDescent="0.25"/>
    <row r="53" ht="12.5" x14ac:dyDescent="0.25"/>
    <row r="54" ht="12.5" x14ac:dyDescent="0.25"/>
    <row r="55" ht="12.5" x14ac:dyDescent="0.25"/>
    <row r="56" ht="12.5" x14ac:dyDescent="0.25"/>
    <row r="57" ht="12.5" x14ac:dyDescent="0.25"/>
    <row r="58" ht="12.5" x14ac:dyDescent="0.25"/>
    <row r="59" ht="12.5" x14ac:dyDescent="0.25"/>
    <row r="60" ht="12.5" x14ac:dyDescent="0.25"/>
    <row r="61" ht="12.5" x14ac:dyDescent="0.25"/>
    <row r="62" ht="12.5" x14ac:dyDescent="0.25"/>
    <row r="63" ht="12.5" x14ac:dyDescent="0.25"/>
    <row r="64" ht="12.5" x14ac:dyDescent="0.25"/>
    <row r="65" ht="12.5" x14ac:dyDescent="0.25"/>
    <row r="66" ht="12.5" x14ac:dyDescent="0.25"/>
    <row r="67" ht="12.5" x14ac:dyDescent="0.25"/>
    <row r="68" ht="12.5" x14ac:dyDescent="0.25"/>
    <row r="69" ht="12.5" x14ac:dyDescent="0.25"/>
    <row r="70" ht="12.5" x14ac:dyDescent="0.25"/>
    <row r="71" ht="12.5" x14ac:dyDescent="0.25"/>
    <row r="72" ht="12.5" x14ac:dyDescent="0.25"/>
    <row r="73" ht="12.5" x14ac:dyDescent="0.25"/>
    <row r="74" ht="12.5" x14ac:dyDescent="0.25"/>
    <row r="75" ht="12.5" x14ac:dyDescent="0.25"/>
    <row r="76" ht="12.5" x14ac:dyDescent="0.25"/>
    <row r="77" ht="12.5" x14ac:dyDescent="0.25"/>
    <row r="78" ht="12.5" x14ac:dyDescent="0.25"/>
    <row r="79" ht="12.5" x14ac:dyDescent="0.25"/>
    <row r="80" ht="12.5" x14ac:dyDescent="0.25"/>
    <row r="81" ht="12.5" x14ac:dyDescent="0.25"/>
    <row r="82" ht="12.5" x14ac:dyDescent="0.25"/>
    <row r="83" ht="12.5" x14ac:dyDescent="0.25"/>
    <row r="84" ht="12.5" x14ac:dyDescent="0.25"/>
    <row r="85" ht="12.5" x14ac:dyDescent="0.25"/>
    <row r="86" ht="12.5" x14ac:dyDescent="0.25"/>
    <row r="87" ht="12.5" x14ac:dyDescent="0.25"/>
    <row r="88" ht="12.5" x14ac:dyDescent="0.25"/>
    <row r="89" ht="12.5" x14ac:dyDescent="0.25"/>
    <row r="90" ht="12.5" x14ac:dyDescent="0.25"/>
    <row r="91" ht="12.5" x14ac:dyDescent="0.25"/>
    <row r="92" ht="12.5" x14ac:dyDescent="0.25"/>
    <row r="93" ht="12.5" x14ac:dyDescent="0.25"/>
    <row r="94" ht="12.5" x14ac:dyDescent="0.25"/>
    <row r="95" ht="12.5" x14ac:dyDescent="0.25"/>
    <row r="96" ht="12.5" x14ac:dyDescent="0.25"/>
    <row r="97" ht="12.5" x14ac:dyDescent="0.25"/>
    <row r="98" ht="12.5" x14ac:dyDescent="0.25"/>
    <row r="99" ht="12.5" x14ac:dyDescent="0.25"/>
    <row r="100" ht="12.5" x14ac:dyDescent="0.25"/>
    <row r="101" ht="12.5" x14ac:dyDescent="0.25"/>
    <row r="103" ht="12.5" x14ac:dyDescent="0.25"/>
    <row r="104" ht="12.5" x14ac:dyDescent="0.25"/>
    <row r="105" ht="12.5" x14ac:dyDescent="0.25"/>
    <row r="106" ht="12.5" x14ac:dyDescent="0.25"/>
    <row r="107" ht="12.5" x14ac:dyDescent="0.25"/>
    <row r="108" ht="12.5" x14ac:dyDescent="0.25"/>
    <row r="109" ht="12.5" x14ac:dyDescent="0.25"/>
    <row r="110" ht="12.5" x14ac:dyDescent="0.25"/>
    <row r="111" ht="12.5" x14ac:dyDescent="0.25"/>
    <row r="112" ht="12.5" x14ac:dyDescent="0.25"/>
    <row r="113" ht="12.5" x14ac:dyDescent="0.25"/>
    <row r="115" ht="12.5" x14ac:dyDescent="0.25"/>
    <row r="116" ht="12.5" x14ac:dyDescent="0.25"/>
    <row r="117" ht="12.5" x14ac:dyDescent="0.25"/>
    <row r="118" ht="12.5" x14ac:dyDescent="0.25"/>
    <row r="119" ht="12.5" x14ac:dyDescent="0.25"/>
    <row r="120" ht="12.5" x14ac:dyDescent="0.25"/>
    <row r="121" ht="12.5" x14ac:dyDescent="0.25"/>
    <row r="122" ht="12.5" x14ac:dyDescent="0.25"/>
    <row r="123" ht="12.5" x14ac:dyDescent="0.25"/>
    <row r="124" ht="12.5" x14ac:dyDescent="0.25"/>
    <row r="125" ht="12.5" x14ac:dyDescent="0.25"/>
  </sheetData>
  <mergeCells count="8">
    <mergeCell ref="A17:H17"/>
    <mergeCell ref="A13:H13"/>
    <mergeCell ref="A14:H16"/>
    <mergeCell ref="A1:H1"/>
    <mergeCell ref="A2:H2"/>
    <mergeCell ref="A4:H4"/>
    <mergeCell ref="A5:H6"/>
    <mergeCell ref="A8:H8"/>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49147-1737-4D76-B9FD-0CDB8FB33230}">
  <sheetPr>
    <tabColor rgb="FF4472C4"/>
  </sheetPr>
  <dimension ref="A1:H51"/>
  <sheetViews>
    <sheetView showGridLines="0" workbookViewId="0">
      <pane ySplit="1" topLeftCell="A7" activePane="bottomLeft" state="frozen"/>
      <selection pane="bottomLeft" activeCell="B18" sqref="B18"/>
    </sheetView>
  </sheetViews>
  <sheetFormatPr defaultRowHeight="12.5" x14ac:dyDescent="0.25"/>
  <cols>
    <col min="1" max="1" width="30" customWidth="1"/>
    <col min="2" max="2" width="36.36328125" customWidth="1"/>
    <col min="3" max="3" width="16.36328125" customWidth="1"/>
    <col min="4" max="8" width="12.7265625" customWidth="1"/>
  </cols>
  <sheetData>
    <row r="1" spans="1:8" ht="23.5" x14ac:dyDescent="0.25">
      <c r="A1" s="11" t="s">
        <v>160</v>
      </c>
      <c r="B1" s="11"/>
      <c r="C1" s="11"/>
      <c r="D1" s="11"/>
      <c r="E1" s="11"/>
      <c r="F1" s="11"/>
      <c r="G1" s="11"/>
      <c r="H1" s="11"/>
    </row>
    <row r="2" spans="1:8" ht="13" x14ac:dyDescent="0.25">
      <c r="A2" s="16" t="s">
        <v>504</v>
      </c>
      <c r="B2" s="16"/>
      <c r="C2" s="16"/>
      <c r="D2" s="16"/>
      <c r="E2" s="16"/>
      <c r="F2" s="16"/>
      <c r="G2" s="16"/>
      <c r="H2" s="16"/>
    </row>
    <row r="3" spans="1:8" ht="13" x14ac:dyDescent="0.25">
      <c r="A3" s="2"/>
      <c r="B3" s="2"/>
      <c r="C3" s="2"/>
      <c r="D3" s="2"/>
      <c r="E3" s="2"/>
      <c r="F3" s="2"/>
      <c r="G3" s="2"/>
      <c r="H3" s="2"/>
    </row>
    <row r="4" spans="1:8" ht="14.5" x14ac:dyDescent="0.25">
      <c r="A4" s="15" t="s">
        <v>404</v>
      </c>
      <c r="B4" s="15"/>
      <c r="C4" s="15"/>
      <c r="D4" s="15"/>
      <c r="E4" s="15"/>
      <c r="F4" s="15"/>
      <c r="G4" s="15"/>
      <c r="H4" s="15"/>
    </row>
    <row r="5" spans="1:8" x14ac:dyDescent="0.25">
      <c r="A5" s="14" t="s">
        <v>505</v>
      </c>
      <c r="B5" s="14"/>
      <c r="C5" s="14"/>
      <c r="D5" s="14"/>
      <c r="E5" s="14"/>
      <c r="F5" s="14"/>
      <c r="G5" s="14"/>
      <c r="H5" s="14"/>
    </row>
    <row r="6" spans="1:8" x14ac:dyDescent="0.25">
      <c r="A6" s="14"/>
      <c r="B6" s="14"/>
      <c r="C6" s="14"/>
      <c r="D6" s="14"/>
      <c r="E6" s="14"/>
      <c r="F6" s="14"/>
      <c r="G6" s="14"/>
      <c r="H6" s="14"/>
    </row>
    <row r="7" spans="1:8" ht="13" x14ac:dyDescent="0.25">
      <c r="A7" s="2"/>
      <c r="B7" s="2"/>
      <c r="C7" s="2"/>
      <c r="D7" s="2"/>
      <c r="E7" s="2"/>
      <c r="F7" s="2"/>
      <c r="G7" s="2"/>
      <c r="H7" s="2"/>
    </row>
    <row r="8" spans="1:8" ht="14.5" x14ac:dyDescent="0.25">
      <c r="A8" s="15" t="s">
        <v>405</v>
      </c>
      <c r="B8" s="15"/>
      <c r="C8" s="15"/>
      <c r="D8" s="15"/>
      <c r="E8" s="15"/>
      <c r="F8" s="15"/>
      <c r="G8" s="15"/>
      <c r="H8" s="15"/>
    </row>
    <row r="9" spans="1:8" x14ac:dyDescent="0.25">
      <c r="A9" s="14" t="s">
        <v>406</v>
      </c>
      <c r="B9" s="14"/>
      <c r="C9" s="14"/>
      <c r="D9" s="14"/>
      <c r="E9" s="14"/>
      <c r="F9" s="14"/>
      <c r="G9" s="14"/>
      <c r="H9" s="14"/>
    </row>
    <row r="10" spans="1:8" x14ac:dyDescent="0.25">
      <c r="A10" s="14"/>
      <c r="B10" s="14"/>
      <c r="C10" s="14"/>
      <c r="D10" s="14"/>
      <c r="E10" s="14"/>
      <c r="F10" s="14"/>
      <c r="G10" s="14"/>
      <c r="H10" s="14"/>
    </row>
    <row r="11" spans="1:8" ht="13" x14ac:dyDescent="0.25">
      <c r="A11" s="2"/>
      <c r="B11" s="2"/>
      <c r="C11" s="2"/>
      <c r="D11" s="2"/>
      <c r="E11" s="2"/>
      <c r="F11" s="2"/>
      <c r="G11" s="2"/>
      <c r="H11" s="2"/>
    </row>
    <row r="12" spans="1:8" ht="14.5" x14ac:dyDescent="0.25">
      <c r="A12" s="15" t="s">
        <v>506</v>
      </c>
      <c r="B12" s="15"/>
      <c r="C12" s="15"/>
      <c r="D12" s="15"/>
      <c r="E12" s="15"/>
      <c r="F12" s="15"/>
      <c r="G12" s="15"/>
      <c r="H12" s="15"/>
    </row>
    <row r="13" spans="1:8" ht="13" x14ac:dyDescent="0.25">
      <c r="A13" s="2"/>
      <c r="B13" s="2"/>
      <c r="C13" s="2"/>
      <c r="D13" s="2"/>
      <c r="E13" s="2"/>
      <c r="F13" s="2"/>
      <c r="G13" s="2"/>
      <c r="H13" s="2"/>
    </row>
    <row r="14" spans="1:8" ht="13" x14ac:dyDescent="0.25">
      <c r="A14" s="35" t="s">
        <v>256</v>
      </c>
      <c r="B14" s="35" t="s">
        <v>210</v>
      </c>
      <c r="C14" s="35" t="s">
        <v>189</v>
      </c>
      <c r="D14" s="2"/>
      <c r="E14" s="2"/>
      <c r="F14" s="2"/>
      <c r="G14" s="2"/>
      <c r="H14" s="2"/>
    </row>
    <row r="15" spans="1:8" ht="13" x14ac:dyDescent="0.25">
      <c r="A15" s="2" t="s">
        <v>466</v>
      </c>
      <c r="B15" s="5">
        <f>DQ02_Row_Reconciliation!C8</f>
        <v>0</v>
      </c>
      <c r="C15" s="6" t="str">
        <f>DQ02_Row_Reconciliation!D8</f>
        <v>PASS</v>
      </c>
      <c r="D15" s="2"/>
      <c r="E15" s="2"/>
      <c r="F15" s="2"/>
      <c r="G15" s="2"/>
      <c r="H15" s="2"/>
    </row>
    <row r="16" spans="1:8" ht="13" x14ac:dyDescent="0.25">
      <c r="A16" s="2" t="s">
        <v>467</v>
      </c>
      <c r="B16" s="7">
        <f>DQ03_Revenue_Reconciliation!C8</f>
        <v>0</v>
      </c>
      <c r="C16" s="6" t="str">
        <f>DQ03_Revenue_Reconciliation!D8</f>
        <v>PASS</v>
      </c>
      <c r="D16" s="2"/>
      <c r="E16" s="2"/>
      <c r="F16" s="2"/>
      <c r="G16" s="2"/>
      <c r="H16" s="2"/>
    </row>
    <row r="17" spans="1:8" ht="13" x14ac:dyDescent="0.25">
      <c r="A17" s="2" t="s">
        <v>468</v>
      </c>
      <c r="B17" s="5">
        <f>SUM(DQ04_Orphan_Key_Check!B8:B10)</f>
        <v>0</v>
      </c>
      <c r="C17" s="6" t="str">
        <f>IF(B17=0,"PASS","FAIL")</f>
        <v>PASS</v>
      </c>
      <c r="D17" s="2"/>
      <c r="E17" s="2"/>
      <c r="F17" s="2"/>
      <c r="G17" s="2"/>
      <c r="H17" s="2"/>
    </row>
    <row r="18" spans="1:8" ht="13" x14ac:dyDescent="0.25">
      <c r="A18" s="2" t="s">
        <v>257</v>
      </c>
      <c r="B18" s="5">
        <f>DQ01_Raw_Profile!C8</f>
        <v>1067371</v>
      </c>
      <c r="C18" s="6" t="s">
        <v>258</v>
      </c>
      <c r="D18" s="2"/>
      <c r="E18" s="2"/>
      <c r="F18" s="2"/>
      <c r="G18" s="2"/>
      <c r="H18" s="2"/>
    </row>
    <row r="19" spans="1:8" ht="13" x14ac:dyDescent="0.25">
      <c r="A19" s="2" t="s">
        <v>469</v>
      </c>
      <c r="B19" s="7">
        <f>DQ01_Raw_Profile!C21</f>
        <v>19287250.57</v>
      </c>
      <c r="C19" s="6" t="s">
        <v>470</v>
      </c>
      <c r="D19" s="2"/>
      <c r="E19" s="2"/>
      <c r="F19" s="2"/>
      <c r="G19" s="2"/>
      <c r="H19" s="2"/>
    </row>
    <row r="20" spans="1:8" ht="13" x14ac:dyDescent="0.25">
      <c r="A20" s="2"/>
      <c r="B20" s="2"/>
      <c r="C20" s="2"/>
      <c r="D20" s="2"/>
      <c r="E20" s="2"/>
      <c r="F20" s="2"/>
      <c r="G20" s="2"/>
      <c r="H20" s="2"/>
    </row>
    <row r="21" spans="1:8" ht="14.5" x14ac:dyDescent="0.25">
      <c r="A21" s="15" t="s">
        <v>407</v>
      </c>
      <c r="B21" s="15"/>
      <c r="C21" s="15"/>
      <c r="D21" s="15"/>
      <c r="E21" s="15"/>
      <c r="F21" s="15"/>
      <c r="G21" s="15"/>
      <c r="H21" s="15"/>
    </row>
    <row r="22" spans="1:8" ht="13" x14ac:dyDescent="0.25">
      <c r="A22" s="2"/>
      <c r="B22" s="2"/>
      <c r="C22" s="2"/>
      <c r="D22" s="2"/>
      <c r="E22" s="2"/>
      <c r="F22" s="2"/>
      <c r="G22" s="2"/>
      <c r="H22" s="2"/>
    </row>
    <row r="23" spans="1:8" ht="13" x14ac:dyDescent="0.25">
      <c r="A23" s="2">
        <v>1</v>
      </c>
      <c r="B23" s="14" t="s">
        <v>408</v>
      </c>
      <c r="C23" s="14"/>
      <c r="D23" s="14"/>
      <c r="E23" s="14"/>
      <c r="F23" s="14"/>
      <c r="G23" s="14"/>
      <c r="H23" s="14"/>
    </row>
    <row r="24" spans="1:8" ht="13" x14ac:dyDescent="0.25">
      <c r="A24" s="2">
        <v>2</v>
      </c>
      <c r="B24" s="14" t="s">
        <v>409</v>
      </c>
      <c r="C24" s="14"/>
      <c r="D24" s="14"/>
      <c r="E24" s="14"/>
      <c r="F24" s="14"/>
      <c r="G24" s="14"/>
      <c r="H24" s="14"/>
    </row>
    <row r="25" spans="1:8" ht="13" x14ac:dyDescent="0.25">
      <c r="A25" s="2">
        <v>3</v>
      </c>
      <c r="B25" s="14" t="s">
        <v>410</v>
      </c>
      <c r="C25" s="14"/>
      <c r="D25" s="14"/>
      <c r="E25" s="14"/>
      <c r="F25" s="14"/>
      <c r="G25" s="14"/>
      <c r="H25" s="14"/>
    </row>
    <row r="26" spans="1:8" ht="13" x14ac:dyDescent="0.25">
      <c r="A26" s="2">
        <v>4</v>
      </c>
      <c r="B26" s="14" t="s">
        <v>482</v>
      </c>
      <c r="C26" s="14"/>
      <c r="D26" s="14"/>
      <c r="E26" s="14"/>
      <c r="F26" s="14"/>
      <c r="G26" s="14"/>
      <c r="H26" s="14"/>
    </row>
    <row r="27" spans="1:8" ht="13" x14ac:dyDescent="0.25">
      <c r="A27" s="2">
        <v>5</v>
      </c>
      <c r="B27" s="14" t="s">
        <v>411</v>
      </c>
      <c r="C27" s="14"/>
      <c r="D27" s="14"/>
      <c r="E27" s="14"/>
      <c r="F27" s="14"/>
      <c r="G27" s="14"/>
      <c r="H27" s="14"/>
    </row>
    <row r="28" spans="1:8" ht="13" x14ac:dyDescent="0.25">
      <c r="A28" s="2"/>
      <c r="B28" s="2"/>
      <c r="C28" s="2"/>
      <c r="D28" s="2"/>
      <c r="E28" s="2"/>
      <c r="F28" s="2"/>
      <c r="G28" s="2"/>
      <c r="H28" s="2"/>
    </row>
    <row r="29" spans="1:8" ht="14.5" x14ac:dyDescent="0.25">
      <c r="A29" s="15" t="s">
        <v>412</v>
      </c>
      <c r="B29" s="15"/>
      <c r="C29" s="15"/>
      <c r="D29" s="15"/>
      <c r="E29" s="15"/>
      <c r="F29" s="15"/>
      <c r="G29" s="15"/>
      <c r="H29" s="15"/>
    </row>
    <row r="30" spans="1:8" ht="13" x14ac:dyDescent="0.25">
      <c r="A30" s="2"/>
      <c r="B30" s="2"/>
      <c r="C30" s="2"/>
      <c r="D30" s="2"/>
      <c r="E30" s="2"/>
      <c r="F30" s="2"/>
      <c r="G30" s="2"/>
      <c r="H30" s="2"/>
    </row>
    <row r="31" spans="1:8" x14ac:dyDescent="0.25">
      <c r="A31" s="14" t="s">
        <v>483</v>
      </c>
      <c r="B31" s="14"/>
      <c r="C31" s="14"/>
      <c r="D31" s="14"/>
      <c r="E31" s="14"/>
      <c r="F31" s="14"/>
      <c r="G31" s="14"/>
      <c r="H31" s="14"/>
    </row>
    <row r="32" spans="1:8" x14ac:dyDescent="0.25">
      <c r="A32" s="14"/>
      <c r="B32" s="14"/>
      <c r="C32" s="14"/>
      <c r="D32" s="14"/>
      <c r="E32" s="14"/>
      <c r="F32" s="14"/>
      <c r="G32" s="14"/>
      <c r="H32" s="14"/>
    </row>
    <row r="33" spans="1:8" x14ac:dyDescent="0.25">
      <c r="A33" s="14"/>
      <c r="B33" s="14"/>
      <c r="C33" s="14"/>
      <c r="D33" s="14"/>
      <c r="E33" s="14"/>
      <c r="F33" s="14"/>
      <c r="G33" s="14"/>
      <c r="H33" s="14"/>
    </row>
    <row r="34" spans="1:8" x14ac:dyDescent="0.25">
      <c r="A34" s="14"/>
      <c r="B34" s="14"/>
      <c r="C34" s="14"/>
      <c r="D34" s="14"/>
      <c r="E34" s="14"/>
      <c r="F34" s="14"/>
      <c r="G34" s="14"/>
      <c r="H34" s="14"/>
    </row>
    <row r="35" spans="1:8" ht="24" customHeight="1" x14ac:dyDescent="0.25"/>
    <row r="36" spans="1:8" ht="34" customHeight="1" x14ac:dyDescent="0.25"/>
    <row r="37" spans="1:8" ht="34" customHeight="1" x14ac:dyDescent="0.25"/>
    <row r="38" spans="1:8" ht="34" customHeight="1" x14ac:dyDescent="0.25"/>
    <row r="39" spans="1:8" ht="34" customHeight="1" x14ac:dyDescent="0.25"/>
    <row r="40" spans="1:8" ht="34" customHeight="1" x14ac:dyDescent="0.25"/>
    <row r="41" spans="1:8" ht="34" customHeight="1" x14ac:dyDescent="0.25"/>
    <row r="42" spans="1:8" ht="34" customHeight="1" x14ac:dyDescent="0.25"/>
    <row r="43" spans="1:8" ht="34" customHeight="1" x14ac:dyDescent="0.25"/>
    <row r="44" spans="1:8" ht="34" customHeight="1" x14ac:dyDescent="0.25"/>
    <row r="45" spans="1:8" ht="34" customHeight="1" x14ac:dyDescent="0.25"/>
    <row r="46" spans="1:8" ht="36" customHeight="1" x14ac:dyDescent="0.25"/>
    <row r="47" spans="1:8" ht="22" customHeight="1" x14ac:dyDescent="0.25"/>
    <row r="48" spans="1:8" ht="31" customHeight="1" x14ac:dyDescent="0.25"/>
    <row r="49" ht="31" customHeight="1" x14ac:dyDescent="0.25"/>
    <row r="50" ht="31" customHeight="1" x14ac:dyDescent="0.25"/>
    <row r="51" ht="31" customHeight="1" x14ac:dyDescent="0.25"/>
  </sheetData>
  <mergeCells count="15">
    <mergeCell ref="A4:H4"/>
    <mergeCell ref="A8:H8"/>
    <mergeCell ref="A1:H1"/>
    <mergeCell ref="A2:H2"/>
    <mergeCell ref="A31:H34"/>
    <mergeCell ref="A5:H6"/>
    <mergeCell ref="A9:H10"/>
    <mergeCell ref="A12:H12"/>
    <mergeCell ref="A21:H21"/>
    <mergeCell ref="B23:H23"/>
    <mergeCell ref="B24:H24"/>
    <mergeCell ref="B25:H25"/>
    <mergeCell ref="B26:H26"/>
    <mergeCell ref="B27:H27"/>
    <mergeCell ref="A29:H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3079D-C924-479C-B591-435FDEAE6C51}">
  <sheetPr>
    <tabColor rgb="FF4472C4"/>
  </sheetPr>
  <dimension ref="A1:F27"/>
  <sheetViews>
    <sheetView showGridLines="0" workbookViewId="0">
      <pane ySplit="1" topLeftCell="A13" activePane="bottomLeft" state="frozen"/>
      <selection pane="bottomLeft" activeCell="A4" sqref="A4:XFD4"/>
    </sheetView>
  </sheetViews>
  <sheetFormatPr defaultRowHeight="12.5" x14ac:dyDescent="0.25"/>
  <cols>
    <col min="1" max="1" width="24.54296875" customWidth="1"/>
    <col min="2" max="2" width="18.1796875" customWidth="1"/>
    <col min="3" max="3" width="34.54296875" customWidth="1"/>
    <col min="4" max="4" width="16.36328125" customWidth="1"/>
    <col min="5" max="5" width="27.26953125" customWidth="1"/>
    <col min="6" max="6" width="14.7265625" bestFit="1" customWidth="1"/>
  </cols>
  <sheetData>
    <row r="1" spans="1:6" ht="23.5" x14ac:dyDescent="0.25">
      <c r="A1" s="11" t="s">
        <v>260</v>
      </c>
      <c r="B1" s="11"/>
      <c r="C1" s="11"/>
      <c r="D1" s="11"/>
      <c r="E1" s="11"/>
      <c r="F1" s="11"/>
    </row>
    <row r="2" spans="1:6" ht="13" x14ac:dyDescent="0.25">
      <c r="A2" s="12" t="s">
        <v>261</v>
      </c>
      <c r="B2" s="12"/>
      <c r="C2" s="12"/>
      <c r="D2" s="12"/>
      <c r="E2" s="12"/>
      <c r="F2" s="12"/>
    </row>
    <row r="3" spans="1:6" ht="13" x14ac:dyDescent="0.25">
      <c r="A3" s="2"/>
      <c r="B3" s="2"/>
      <c r="C3" s="2"/>
      <c r="D3" s="2"/>
      <c r="E3" s="2"/>
      <c r="F3" s="2"/>
    </row>
    <row r="4" spans="1:6" ht="13" x14ac:dyDescent="0.25">
      <c r="A4" s="2"/>
      <c r="B4" s="2"/>
      <c r="C4" s="2"/>
      <c r="D4" s="2"/>
      <c r="E4" s="2"/>
      <c r="F4" s="2"/>
    </row>
    <row r="5" spans="1:6" ht="13" x14ac:dyDescent="0.25">
      <c r="A5" s="2" t="s">
        <v>262</v>
      </c>
      <c r="B5" s="2" t="s">
        <v>263</v>
      </c>
      <c r="C5" s="2" t="s">
        <v>95</v>
      </c>
      <c r="D5" s="2" t="s">
        <v>264</v>
      </c>
      <c r="E5" s="2" t="s">
        <v>471</v>
      </c>
      <c r="F5" s="2" t="s">
        <v>265</v>
      </c>
    </row>
    <row r="6" spans="1:6" ht="13" x14ac:dyDescent="0.25">
      <c r="A6" s="2" t="s">
        <v>266</v>
      </c>
      <c r="B6" s="2" t="s">
        <v>267</v>
      </c>
      <c r="C6" s="2" t="s">
        <v>268</v>
      </c>
      <c r="D6" s="2" t="s">
        <v>269</v>
      </c>
      <c r="E6" s="2" t="s">
        <v>270</v>
      </c>
      <c r="F6" s="6" t="s">
        <v>498</v>
      </c>
    </row>
    <row r="7" spans="1:6" ht="13" x14ac:dyDescent="0.25">
      <c r="A7" s="2" t="s">
        <v>180</v>
      </c>
      <c r="B7" s="2" t="s">
        <v>267</v>
      </c>
      <c r="C7" s="2" t="s">
        <v>271</v>
      </c>
      <c r="D7" s="2" t="s">
        <v>272</v>
      </c>
      <c r="E7" s="2" t="s">
        <v>270</v>
      </c>
      <c r="F7" s="6" t="s">
        <v>499</v>
      </c>
    </row>
    <row r="8" spans="1:6" ht="13" x14ac:dyDescent="0.25">
      <c r="A8" s="2" t="s">
        <v>181</v>
      </c>
      <c r="B8" s="2" t="s">
        <v>273</v>
      </c>
      <c r="C8" s="2" t="s">
        <v>274</v>
      </c>
      <c r="D8" s="2" t="s">
        <v>269</v>
      </c>
      <c r="E8" s="2" t="s">
        <v>479</v>
      </c>
      <c r="F8" s="6" t="s">
        <v>498</v>
      </c>
    </row>
    <row r="9" spans="1:6" ht="13" x14ac:dyDescent="0.25">
      <c r="A9" s="2" t="s">
        <v>275</v>
      </c>
      <c r="B9" s="2" t="s">
        <v>273</v>
      </c>
      <c r="C9" s="2" t="s">
        <v>276</v>
      </c>
      <c r="D9" s="2" t="s">
        <v>272</v>
      </c>
      <c r="E9" s="2" t="s">
        <v>277</v>
      </c>
      <c r="F9" s="6" t="s">
        <v>498</v>
      </c>
    </row>
    <row r="10" spans="1:6" ht="13" x14ac:dyDescent="0.25">
      <c r="A10" s="2" t="s">
        <v>182</v>
      </c>
      <c r="B10" s="2" t="s">
        <v>273</v>
      </c>
      <c r="C10" s="2" t="s">
        <v>278</v>
      </c>
      <c r="D10" s="2" t="s">
        <v>272</v>
      </c>
      <c r="E10" s="2" t="s">
        <v>480</v>
      </c>
      <c r="F10" s="6" t="s">
        <v>498</v>
      </c>
    </row>
    <row r="11" spans="1:6" ht="13" x14ac:dyDescent="0.25">
      <c r="A11" s="2" t="s">
        <v>183</v>
      </c>
      <c r="B11" s="2" t="s">
        <v>162</v>
      </c>
      <c r="C11" s="2" t="s">
        <v>279</v>
      </c>
      <c r="D11" s="2" t="s">
        <v>269</v>
      </c>
      <c r="E11" s="2" t="s">
        <v>280</v>
      </c>
      <c r="F11" s="6" t="s">
        <v>500</v>
      </c>
    </row>
    <row r="12" spans="1:6" ht="13" x14ac:dyDescent="0.25">
      <c r="A12" s="2" t="s">
        <v>184</v>
      </c>
      <c r="B12" s="2" t="s">
        <v>281</v>
      </c>
      <c r="C12" s="2" t="s">
        <v>282</v>
      </c>
      <c r="D12" s="2" t="s">
        <v>272</v>
      </c>
      <c r="E12" s="2" t="s">
        <v>283</v>
      </c>
      <c r="F12" s="6" t="s">
        <v>498</v>
      </c>
    </row>
    <row r="13" spans="1:6" ht="13" x14ac:dyDescent="0.25">
      <c r="A13" s="2" t="s">
        <v>284</v>
      </c>
      <c r="B13" s="2" t="s">
        <v>162</v>
      </c>
      <c r="C13" s="2" t="s">
        <v>285</v>
      </c>
      <c r="D13" s="2" t="s">
        <v>269</v>
      </c>
      <c r="E13" s="2" t="s">
        <v>280</v>
      </c>
      <c r="F13" s="6" t="s">
        <v>500</v>
      </c>
    </row>
    <row r="14" spans="1:6" ht="13" x14ac:dyDescent="0.25">
      <c r="A14" s="2" t="s">
        <v>286</v>
      </c>
      <c r="B14" s="2" t="s">
        <v>162</v>
      </c>
      <c r="C14" s="2" t="s">
        <v>287</v>
      </c>
      <c r="D14" s="2" t="s">
        <v>269</v>
      </c>
      <c r="E14" s="2" t="s">
        <v>280</v>
      </c>
      <c r="F14" s="6" t="s">
        <v>500</v>
      </c>
    </row>
    <row r="15" spans="1:6" ht="13" x14ac:dyDescent="0.25">
      <c r="A15" s="2" t="s">
        <v>288</v>
      </c>
      <c r="B15" s="2" t="s">
        <v>162</v>
      </c>
      <c r="C15" s="2" t="s">
        <v>289</v>
      </c>
      <c r="D15" s="2" t="s">
        <v>269</v>
      </c>
      <c r="E15" s="2" t="s">
        <v>280</v>
      </c>
      <c r="F15" s="6" t="s">
        <v>500</v>
      </c>
    </row>
    <row r="16" spans="1:6" ht="13" x14ac:dyDescent="0.25">
      <c r="A16" s="2" t="s">
        <v>290</v>
      </c>
      <c r="B16" s="2" t="s">
        <v>162</v>
      </c>
      <c r="C16" s="2" t="s">
        <v>291</v>
      </c>
      <c r="D16" s="2" t="s">
        <v>269</v>
      </c>
      <c r="E16" s="2" t="s">
        <v>280</v>
      </c>
      <c r="F16" s="6" t="s">
        <v>500</v>
      </c>
    </row>
    <row r="17" spans="1:6" ht="13" x14ac:dyDescent="0.25">
      <c r="A17" s="2" t="s">
        <v>292</v>
      </c>
      <c r="B17" s="2" t="s">
        <v>162</v>
      </c>
      <c r="C17" s="2" t="s">
        <v>97</v>
      </c>
      <c r="D17" s="2" t="s">
        <v>269</v>
      </c>
      <c r="E17" s="2" t="s">
        <v>280</v>
      </c>
      <c r="F17" s="6" t="s">
        <v>500</v>
      </c>
    </row>
    <row r="18" spans="1:6" ht="13" x14ac:dyDescent="0.25">
      <c r="A18" s="2" t="s">
        <v>293</v>
      </c>
      <c r="B18" s="2" t="s">
        <v>294</v>
      </c>
      <c r="C18" s="2" t="s">
        <v>431</v>
      </c>
      <c r="D18" s="2" t="s">
        <v>272</v>
      </c>
      <c r="E18" s="2" t="s">
        <v>441</v>
      </c>
      <c r="F18" s="6" t="s">
        <v>499</v>
      </c>
    </row>
    <row r="19" spans="1:6" ht="13" x14ac:dyDescent="0.25">
      <c r="A19" s="2" t="s">
        <v>295</v>
      </c>
      <c r="B19" s="2" t="s">
        <v>294</v>
      </c>
      <c r="C19" s="2" t="s">
        <v>432</v>
      </c>
      <c r="D19" s="2" t="s">
        <v>272</v>
      </c>
      <c r="E19" s="2" t="s">
        <v>296</v>
      </c>
      <c r="F19" s="6" t="s">
        <v>499</v>
      </c>
    </row>
    <row r="20" spans="1:6" ht="13" x14ac:dyDescent="0.25">
      <c r="A20" s="2" t="s">
        <v>297</v>
      </c>
      <c r="B20" s="2" t="s">
        <v>294</v>
      </c>
      <c r="C20" s="2" t="s">
        <v>433</v>
      </c>
      <c r="D20" s="2" t="s">
        <v>272</v>
      </c>
      <c r="E20" s="2" t="s">
        <v>442</v>
      </c>
      <c r="F20" s="6" t="s">
        <v>499</v>
      </c>
    </row>
    <row r="21" spans="1:6" ht="13" x14ac:dyDescent="0.25">
      <c r="A21" s="2" t="s">
        <v>298</v>
      </c>
      <c r="B21" s="2" t="s">
        <v>294</v>
      </c>
      <c r="C21" s="2" t="s">
        <v>434</v>
      </c>
      <c r="D21" s="2" t="s">
        <v>272</v>
      </c>
      <c r="E21" s="2" t="s">
        <v>299</v>
      </c>
      <c r="F21" s="6" t="s">
        <v>499</v>
      </c>
    </row>
    <row r="22" spans="1:6" ht="13" x14ac:dyDescent="0.25">
      <c r="A22" s="2" t="s">
        <v>300</v>
      </c>
      <c r="B22" s="2" t="s">
        <v>294</v>
      </c>
      <c r="C22" s="2" t="s">
        <v>435</v>
      </c>
      <c r="D22" s="2" t="s">
        <v>272</v>
      </c>
      <c r="E22" s="2" t="s">
        <v>301</v>
      </c>
      <c r="F22" s="6" t="s">
        <v>499</v>
      </c>
    </row>
    <row r="23" spans="1:6" ht="13" x14ac:dyDescent="0.25">
      <c r="A23" s="2" t="s">
        <v>302</v>
      </c>
      <c r="B23" s="2" t="s">
        <v>294</v>
      </c>
      <c r="C23" s="2" t="s">
        <v>436</v>
      </c>
      <c r="D23" s="2" t="s">
        <v>272</v>
      </c>
      <c r="E23" s="2" t="s">
        <v>303</v>
      </c>
      <c r="F23" s="6" t="s">
        <v>499</v>
      </c>
    </row>
    <row r="24" spans="1:6" ht="13" x14ac:dyDescent="0.25">
      <c r="A24" s="2" t="s">
        <v>304</v>
      </c>
      <c r="B24" s="2" t="s">
        <v>294</v>
      </c>
      <c r="C24" s="2" t="s">
        <v>437</v>
      </c>
      <c r="D24" s="2" t="s">
        <v>272</v>
      </c>
      <c r="E24" s="2" t="s">
        <v>305</v>
      </c>
      <c r="F24" s="6" t="s">
        <v>499</v>
      </c>
    </row>
    <row r="25" spans="1:6" ht="13" x14ac:dyDescent="0.25">
      <c r="A25" s="2" t="s">
        <v>306</v>
      </c>
      <c r="B25" s="2" t="s">
        <v>294</v>
      </c>
      <c r="C25" s="2" t="s">
        <v>438</v>
      </c>
      <c r="D25" s="2" t="s">
        <v>272</v>
      </c>
      <c r="E25" s="2" t="s">
        <v>307</v>
      </c>
      <c r="F25" s="6" t="s">
        <v>499</v>
      </c>
    </row>
    <row r="26" spans="1:6" ht="13" x14ac:dyDescent="0.25">
      <c r="A26" s="2" t="s">
        <v>308</v>
      </c>
      <c r="B26" s="2" t="s">
        <v>294</v>
      </c>
      <c r="C26" s="2" t="s">
        <v>439</v>
      </c>
      <c r="D26" s="2" t="s">
        <v>272</v>
      </c>
      <c r="E26" s="2" t="s">
        <v>309</v>
      </c>
      <c r="F26" s="6" t="s">
        <v>499</v>
      </c>
    </row>
    <row r="27" spans="1:6" ht="13" x14ac:dyDescent="0.25">
      <c r="A27" s="2" t="s">
        <v>310</v>
      </c>
      <c r="B27" s="2" t="s">
        <v>294</v>
      </c>
      <c r="C27" s="2" t="s">
        <v>440</v>
      </c>
      <c r="D27" s="2" t="s">
        <v>272</v>
      </c>
      <c r="E27" s="2" t="s">
        <v>311</v>
      </c>
      <c r="F27" s="6" t="s">
        <v>499</v>
      </c>
    </row>
  </sheetData>
  <mergeCells count="2">
    <mergeCell ref="A1:F1"/>
    <mergeCell ref="A2:F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44FA4-0273-4524-99DE-2E9F48B491B7}">
  <sheetPr>
    <tabColor rgb="FF4472C4"/>
  </sheetPr>
  <dimension ref="A1:D15"/>
  <sheetViews>
    <sheetView showGridLines="0" workbookViewId="0">
      <pane ySplit="1" topLeftCell="A2" activePane="bottomLeft" state="frozen"/>
      <selection pane="bottomLeft" activeCell="C19" sqref="C19"/>
    </sheetView>
  </sheetViews>
  <sheetFormatPr defaultRowHeight="12.5" x14ac:dyDescent="0.25"/>
  <cols>
    <col min="1" max="1" width="10.90625" customWidth="1"/>
    <col min="2" max="2" width="20" customWidth="1"/>
    <col min="3" max="3" width="36.36328125" customWidth="1"/>
    <col min="4" max="4" width="39.36328125" bestFit="1" customWidth="1"/>
  </cols>
  <sheetData>
    <row r="1" spans="1:4" ht="23.5" x14ac:dyDescent="0.25">
      <c r="A1" s="11" t="s">
        <v>312</v>
      </c>
      <c r="B1" s="11"/>
      <c r="C1" s="11"/>
      <c r="D1" s="11"/>
    </row>
    <row r="2" spans="1:4" ht="13" x14ac:dyDescent="0.25">
      <c r="A2" s="12" t="s">
        <v>313</v>
      </c>
      <c r="B2" s="12"/>
      <c r="C2" s="12"/>
      <c r="D2" s="12"/>
    </row>
    <row r="3" spans="1:4" ht="13" x14ac:dyDescent="0.25">
      <c r="A3" s="2"/>
      <c r="B3" s="2"/>
      <c r="C3" s="2"/>
      <c r="D3" s="2"/>
    </row>
    <row r="4" spans="1:4" ht="13" x14ac:dyDescent="0.25">
      <c r="A4" s="2"/>
      <c r="B4" s="2"/>
      <c r="C4" s="2"/>
      <c r="D4" s="2"/>
    </row>
    <row r="5" spans="1:4" ht="13" x14ac:dyDescent="0.25">
      <c r="A5" s="2" t="s">
        <v>314</v>
      </c>
      <c r="B5" s="2" t="s">
        <v>315</v>
      </c>
      <c r="C5" s="2" t="s">
        <v>95</v>
      </c>
      <c r="D5" s="2" t="s">
        <v>316</v>
      </c>
    </row>
    <row r="6" spans="1:4" ht="13" x14ac:dyDescent="0.25">
      <c r="A6" s="2">
        <v>1</v>
      </c>
      <c r="B6" s="2" t="s">
        <v>317</v>
      </c>
      <c r="C6" s="2" t="s">
        <v>318</v>
      </c>
      <c r="D6" s="2" t="s">
        <v>319</v>
      </c>
    </row>
    <row r="7" spans="1:4" ht="13" x14ac:dyDescent="0.25">
      <c r="A7" s="2">
        <v>2</v>
      </c>
      <c r="B7" s="2" t="s">
        <v>320</v>
      </c>
      <c r="C7" s="2" t="s">
        <v>321</v>
      </c>
      <c r="D7" s="2" t="s">
        <v>322</v>
      </c>
    </row>
    <row r="8" spans="1:4" ht="13" x14ac:dyDescent="0.25">
      <c r="A8" s="2">
        <v>3</v>
      </c>
      <c r="B8" s="2" t="s">
        <v>323</v>
      </c>
      <c r="C8" s="2" t="s">
        <v>324</v>
      </c>
      <c r="D8" s="2" t="s">
        <v>325</v>
      </c>
    </row>
    <row r="9" spans="1:4" ht="13" x14ac:dyDescent="0.25">
      <c r="A9" s="2">
        <v>4</v>
      </c>
      <c r="B9" s="2" t="s">
        <v>162</v>
      </c>
      <c r="C9" s="2" t="s">
        <v>326</v>
      </c>
      <c r="D9" s="2" t="s">
        <v>327</v>
      </c>
    </row>
    <row r="10" spans="1:4" ht="13" x14ac:dyDescent="0.25">
      <c r="A10" s="2">
        <v>5</v>
      </c>
      <c r="B10" s="2" t="s">
        <v>328</v>
      </c>
      <c r="C10" s="2" t="s">
        <v>329</v>
      </c>
      <c r="D10" s="2" t="s">
        <v>330</v>
      </c>
    </row>
    <row r="11" spans="1:4" ht="13" x14ac:dyDescent="0.25">
      <c r="A11" s="2">
        <v>6</v>
      </c>
      <c r="B11" s="2" t="s">
        <v>331</v>
      </c>
      <c r="C11" s="2" t="s">
        <v>507</v>
      </c>
      <c r="D11" s="2" t="s">
        <v>332</v>
      </c>
    </row>
    <row r="12" spans="1:4" ht="13" x14ac:dyDescent="0.25">
      <c r="A12" s="2"/>
      <c r="B12" s="2"/>
      <c r="C12" s="2"/>
      <c r="D12" s="2"/>
    </row>
    <row r="13" spans="1:4" x14ac:dyDescent="0.25">
      <c r="A13" s="14" t="s">
        <v>472</v>
      </c>
      <c r="B13" s="14"/>
      <c r="C13" s="14"/>
      <c r="D13" s="14"/>
    </row>
    <row r="14" spans="1:4" x14ac:dyDescent="0.25">
      <c r="A14" s="14"/>
      <c r="B14" s="14"/>
      <c r="C14" s="14"/>
      <c r="D14" s="14"/>
    </row>
    <row r="15" spans="1:4" x14ac:dyDescent="0.25">
      <c r="A15" s="14"/>
      <c r="B15" s="14"/>
      <c r="C15" s="14"/>
      <c r="D15" s="14"/>
    </row>
  </sheetData>
  <mergeCells count="3">
    <mergeCell ref="A1:D1"/>
    <mergeCell ref="A2:D2"/>
    <mergeCell ref="A13:D15"/>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B9307-05D4-4EBE-865A-E5730D73C414}">
  <sheetPr>
    <tabColor rgb="FF4472C4"/>
  </sheetPr>
  <dimension ref="A1:F13"/>
  <sheetViews>
    <sheetView showGridLines="0" workbookViewId="0">
      <pane ySplit="1" topLeftCell="A2" activePane="bottomLeft" state="frozen"/>
      <selection pane="bottomLeft" activeCell="B20" sqref="B20"/>
    </sheetView>
  </sheetViews>
  <sheetFormatPr defaultRowHeight="12.5" x14ac:dyDescent="0.25"/>
  <cols>
    <col min="1" max="1" width="21.81640625" customWidth="1"/>
    <col min="2" max="3" width="36.36328125" customWidth="1"/>
    <col min="4" max="5" width="22.7265625" customWidth="1"/>
    <col min="6" max="6" width="14.54296875" customWidth="1"/>
  </cols>
  <sheetData>
    <row r="1" spans="1:6" ht="23.5" x14ac:dyDescent="0.25">
      <c r="A1" s="11" t="s">
        <v>333</v>
      </c>
      <c r="B1" s="11"/>
      <c r="C1" s="11"/>
      <c r="D1" s="11"/>
      <c r="E1" s="11"/>
      <c r="F1" s="11"/>
    </row>
    <row r="2" spans="1:6" ht="13" x14ac:dyDescent="0.25">
      <c r="A2" s="12" t="s">
        <v>334</v>
      </c>
      <c r="B2" s="12"/>
      <c r="C2" s="12"/>
      <c r="D2" s="12"/>
      <c r="E2" s="12"/>
      <c r="F2" s="12"/>
    </row>
    <row r="3" spans="1:6" ht="13" x14ac:dyDescent="0.25">
      <c r="A3" s="2"/>
      <c r="B3" s="2"/>
      <c r="C3" s="2"/>
      <c r="D3" s="2"/>
      <c r="E3" s="2"/>
      <c r="F3" s="2"/>
    </row>
    <row r="4" spans="1:6" ht="13" x14ac:dyDescent="0.25">
      <c r="A4" s="2"/>
      <c r="B4" s="2"/>
      <c r="C4" s="2"/>
      <c r="D4" s="2"/>
      <c r="E4" s="2"/>
      <c r="F4" s="2"/>
    </row>
    <row r="5" spans="1:6" ht="13" x14ac:dyDescent="0.25">
      <c r="A5" s="2" t="s">
        <v>186</v>
      </c>
      <c r="B5" s="2" t="s">
        <v>335</v>
      </c>
      <c r="C5" s="2" t="s">
        <v>336</v>
      </c>
      <c r="D5" s="2" t="s">
        <v>337</v>
      </c>
      <c r="E5" s="2" t="s">
        <v>338</v>
      </c>
      <c r="F5" s="2" t="s">
        <v>339</v>
      </c>
    </row>
    <row r="6" spans="1:6" ht="26" x14ac:dyDescent="0.25">
      <c r="A6" s="2" t="s">
        <v>124</v>
      </c>
      <c r="B6" s="3" t="s">
        <v>473</v>
      </c>
      <c r="C6" s="3" t="s">
        <v>474</v>
      </c>
      <c r="D6" s="3" t="s">
        <v>340</v>
      </c>
      <c r="E6" s="3" t="s">
        <v>341</v>
      </c>
      <c r="F6" s="3" t="s">
        <v>342</v>
      </c>
    </row>
    <row r="7" spans="1:6" ht="13" x14ac:dyDescent="0.25">
      <c r="A7" s="2" t="s">
        <v>125</v>
      </c>
      <c r="B7" s="3" t="s">
        <v>343</v>
      </c>
      <c r="C7" s="3" t="s">
        <v>344</v>
      </c>
      <c r="D7" s="3" t="s">
        <v>345</v>
      </c>
      <c r="E7" s="3" t="s">
        <v>346</v>
      </c>
      <c r="F7" s="3" t="s">
        <v>347</v>
      </c>
    </row>
    <row r="8" spans="1:6" ht="13" x14ac:dyDescent="0.25">
      <c r="A8" s="2" t="s">
        <v>144</v>
      </c>
      <c r="B8" s="3" t="s">
        <v>348</v>
      </c>
      <c r="C8" s="3" t="s">
        <v>349</v>
      </c>
      <c r="D8" s="3" t="s">
        <v>350</v>
      </c>
      <c r="E8" s="3" t="s">
        <v>351</v>
      </c>
      <c r="F8" s="3" t="s">
        <v>352</v>
      </c>
    </row>
    <row r="9" spans="1:6" ht="13" x14ac:dyDescent="0.25">
      <c r="A9" s="2" t="s">
        <v>353</v>
      </c>
      <c r="B9" s="3" t="s">
        <v>354</v>
      </c>
      <c r="C9" s="3" t="s">
        <v>355</v>
      </c>
      <c r="D9" s="3" t="s">
        <v>356</v>
      </c>
      <c r="E9" s="3" t="s">
        <v>357</v>
      </c>
      <c r="F9" s="3" t="s">
        <v>358</v>
      </c>
    </row>
    <row r="10" spans="1:6" ht="13" x14ac:dyDescent="0.25">
      <c r="A10" s="2" t="s">
        <v>359</v>
      </c>
      <c r="B10" s="3" t="s">
        <v>360</v>
      </c>
      <c r="C10" s="3" t="s">
        <v>361</v>
      </c>
      <c r="D10" s="3" t="s">
        <v>362</v>
      </c>
      <c r="E10" s="3" t="s">
        <v>363</v>
      </c>
      <c r="F10" s="3" t="s">
        <v>364</v>
      </c>
    </row>
    <row r="11" spans="1:6" ht="13" x14ac:dyDescent="0.25">
      <c r="A11" s="2" t="s">
        <v>365</v>
      </c>
      <c r="B11" s="3" t="s">
        <v>366</v>
      </c>
      <c r="C11" s="3" t="s">
        <v>367</v>
      </c>
      <c r="D11" s="3" t="s">
        <v>368</v>
      </c>
      <c r="E11" s="3" t="s">
        <v>346</v>
      </c>
      <c r="F11" s="3" t="s">
        <v>369</v>
      </c>
    </row>
    <row r="12" spans="1:6" ht="13" x14ac:dyDescent="0.25">
      <c r="A12" s="2" t="s">
        <v>370</v>
      </c>
      <c r="B12" s="3" t="s">
        <v>371</v>
      </c>
      <c r="C12" s="3" t="s">
        <v>372</v>
      </c>
      <c r="D12" s="3" t="s">
        <v>373</v>
      </c>
      <c r="E12" s="3" t="s">
        <v>374</v>
      </c>
      <c r="F12" s="3" t="s">
        <v>375</v>
      </c>
    </row>
    <row r="13" spans="1:6" ht="13" x14ac:dyDescent="0.25">
      <c r="A13" s="2" t="s">
        <v>376</v>
      </c>
      <c r="B13" s="3" t="s">
        <v>377</v>
      </c>
      <c r="C13" s="3" t="s">
        <v>378</v>
      </c>
      <c r="D13" s="3" t="s">
        <v>379</v>
      </c>
      <c r="E13" s="3" t="s">
        <v>346</v>
      </c>
      <c r="F13" s="3" t="s">
        <v>380</v>
      </c>
    </row>
  </sheetData>
  <mergeCells count="2">
    <mergeCell ref="A1:F1"/>
    <mergeCell ref="A2:F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9C2F4-E6DB-4BE5-B366-0DA85D1F5B89}">
  <sheetPr>
    <tabColor rgb="FF00A6A6"/>
  </sheetPr>
  <dimension ref="A1:E12"/>
  <sheetViews>
    <sheetView showGridLines="0" workbookViewId="0">
      <pane ySplit="1" topLeftCell="A2" activePane="bottomLeft" state="frozen"/>
      <selection pane="bottomLeft" activeCell="D10" sqref="D10"/>
    </sheetView>
  </sheetViews>
  <sheetFormatPr defaultRowHeight="12.5" x14ac:dyDescent="0.25"/>
  <cols>
    <col min="1" max="2" width="27.26953125" customWidth="1"/>
    <col min="3" max="3" width="19.08984375" customWidth="1"/>
    <col min="4" max="4" width="14.54296875" customWidth="1"/>
    <col min="5" max="5" width="30.90625" customWidth="1"/>
  </cols>
  <sheetData>
    <row r="1" spans="1:5" ht="23.5" x14ac:dyDescent="0.25">
      <c r="A1" s="11" t="s">
        <v>381</v>
      </c>
      <c r="B1" s="11"/>
      <c r="C1" s="11"/>
      <c r="D1" s="11"/>
      <c r="E1" s="11"/>
    </row>
    <row r="2" spans="1:5" ht="13" x14ac:dyDescent="0.25">
      <c r="A2" s="12" t="s">
        <v>382</v>
      </c>
      <c r="B2" s="12"/>
      <c r="C2" s="12"/>
      <c r="D2" s="12"/>
      <c r="E2" s="12"/>
    </row>
    <row r="3" spans="1:5" ht="13" x14ac:dyDescent="0.25">
      <c r="A3" s="2"/>
      <c r="B3" s="2"/>
      <c r="C3" s="2"/>
      <c r="D3" s="2"/>
      <c r="E3" s="2"/>
    </row>
    <row r="4" spans="1:5" ht="13" x14ac:dyDescent="0.25">
      <c r="A4" s="2"/>
      <c r="B4" s="2"/>
      <c r="C4" s="2"/>
      <c r="D4" s="2"/>
      <c r="E4" s="2"/>
    </row>
    <row r="5" spans="1:5" ht="13" x14ac:dyDescent="0.25">
      <c r="A5" s="2" t="s">
        <v>256</v>
      </c>
      <c r="B5" s="2" t="s">
        <v>383</v>
      </c>
      <c r="C5" s="2" t="s">
        <v>210</v>
      </c>
      <c r="D5" s="2" t="s">
        <v>189</v>
      </c>
      <c r="E5" s="2" t="s">
        <v>384</v>
      </c>
    </row>
    <row r="6" spans="1:5" ht="13" x14ac:dyDescent="0.25">
      <c r="A6" s="2" t="s">
        <v>287</v>
      </c>
      <c r="B6" s="2" t="s">
        <v>385</v>
      </c>
      <c r="C6" s="5">
        <f>DQ02_Row_Reconciliation!C8</f>
        <v>0</v>
      </c>
      <c r="D6" s="6" t="str">
        <f>DQ02_Row_Reconciliation!D8</f>
        <v>PASS</v>
      </c>
      <c r="E6" s="2" t="s">
        <v>286</v>
      </c>
    </row>
    <row r="7" spans="1:5" ht="13" x14ac:dyDescent="0.25">
      <c r="A7" s="2" t="s">
        <v>96</v>
      </c>
      <c r="B7" s="2" t="s">
        <v>386</v>
      </c>
      <c r="C7" s="7">
        <f>DQ03_Revenue_Reconciliation!C8</f>
        <v>0</v>
      </c>
      <c r="D7" s="6" t="str">
        <f>DQ03_Revenue_Reconciliation!D8</f>
        <v>PASS</v>
      </c>
      <c r="E7" s="2" t="s">
        <v>288</v>
      </c>
    </row>
    <row r="8" spans="1:5" ht="13" x14ac:dyDescent="0.25">
      <c r="A8" s="2" t="s">
        <v>387</v>
      </c>
      <c r="B8" s="2" t="s">
        <v>388</v>
      </c>
      <c r="C8" s="5">
        <f>DQ04_Orphan_Key_Check!B8</f>
        <v>0</v>
      </c>
      <c r="D8" s="6" t="str">
        <f>DQ04_Orphan_Key_Check!C8</f>
        <v>PASS</v>
      </c>
      <c r="E8" s="2" t="s">
        <v>290</v>
      </c>
    </row>
    <row r="9" spans="1:5" ht="13" x14ac:dyDescent="0.25">
      <c r="A9" s="2" t="s">
        <v>389</v>
      </c>
      <c r="B9" s="2" t="s">
        <v>388</v>
      </c>
      <c r="C9" s="5">
        <f>DQ04_Orphan_Key_Check!B9</f>
        <v>0</v>
      </c>
      <c r="D9" s="6" t="str">
        <f>DQ04_Orphan_Key_Check!C9</f>
        <v>PASS</v>
      </c>
      <c r="E9" s="2" t="s">
        <v>290</v>
      </c>
    </row>
    <row r="10" spans="1:5" ht="13" x14ac:dyDescent="0.25">
      <c r="A10" s="2" t="s">
        <v>390</v>
      </c>
      <c r="B10" s="2" t="s">
        <v>388</v>
      </c>
      <c r="C10" s="5">
        <f>DQ04_Orphan_Key_Check!B10</f>
        <v>0</v>
      </c>
      <c r="D10" s="6" t="str">
        <f>DQ04_Orphan_Key_Check!C10</f>
        <v>PASS</v>
      </c>
      <c r="E10" s="2" t="s">
        <v>290</v>
      </c>
    </row>
    <row r="11" spans="1:5" ht="13" x14ac:dyDescent="0.25">
      <c r="A11" s="2" t="s">
        <v>391</v>
      </c>
      <c r="B11" s="2" t="s">
        <v>392</v>
      </c>
      <c r="C11" s="5">
        <f>DQ01_Raw_Profile!C15</f>
        <v>243007</v>
      </c>
      <c r="D11" s="8" t="s">
        <v>393</v>
      </c>
      <c r="E11" s="2" t="s">
        <v>284</v>
      </c>
    </row>
    <row r="12" spans="1:5" ht="13" x14ac:dyDescent="0.25">
      <c r="A12" s="2" t="s">
        <v>202</v>
      </c>
      <c r="B12" s="2" t="s">
        <v>392</v>
      </c>
      <c r="C12" s="31">
        <v>0.22766872999172733</v>
      </c>
      <c r="D12" s="8" t="s">
        <v>393</v>
      </c>
      <c r="E12" s="2" t="s">
        <v>284</v>
      </c>
    </row>
  </sheetData>
  <mergeCells count="2">
    <mergeCell ref="A1:E1"/>
    <mergeCell ref="A2:E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CC7B-E45B-4395-B2A4-7AD11D4BCC48}">
  <sheetPr>
    <tabColor rgb="FF4472C4"/>
  </sheetPr>
  <dimension ref="A1:E10"/>
  <sheetViews>
    <sheetView showGridLines="0" tabSelected="1" workbookViewId="0">
      <pane ySplit="1" topLeftCell="A2" activePane="bottomLeft" state="frozen"/>
      <selection pane="bottomLeft" activeCell="A5" sqref="A4:XFD5"/>
    </sheetView>
  </sheetViews>
  <sheetFormatPr defaultRowHeight="12.5" x14ac:dyDescent="0.25"/>
  <cols>
    <col min="1" max="1" width="21.81640625" customWidth="1"/>
    <col min="2" max="5" width="30.90625" customWidth="1"/>
  </cols>
  <sheetData>
    <row r="1" spans="1:5" ht="23.5" x14ac:dyDescent="0.25">
      <c r="A1" s="11" t="s">
        <v>394</v>
      </c>
      <c r="B1" s="11"/>
      <c r="C1" s="11"/>
      <c r="D1" s="11"/>
      <c r="E1" s="11"/>
    </row>
    <row r="2" spans="1:5" ht="13" x14ac:dyDescent="0.25">
      <c r="A2" s="12" t="s">
        <v>395</v>
      </c>
      <c r="B2" s="12"/>
      <c r="C2" s="12"/>
      <c r="D2" s="12"/>
      <c r="E2" s="12"/>
    </row>
    <row r="3" spans="1:5" ht="13" x14ac:dyDescent="0.25">
      <c r="A3" s="2"/>
      <c r="B3" s="2"/>
      <c r="C3" s="2"/>
      <c r="D3" s="2"/>
      <c r="E3" s="2"/>
    </row>
    <row r="4" spans="1:5" ht="13" x14ac:dyDescent="0.25">
      <c r="A4" s="2"/>
      <c r="B4" s="2"/>
      <c r="C4" s="2"/>
      <c r="D4" s="2"/>
      <c r="E4" s="2"/>
    </row>
    <row r="5" spans="1:5" ht="13" x14ac:dyDescent="0.25">
      <c r="A5" s="2" t="s">
        <v>396</v>
      </c>
      <c r="B5" s="2" t="s">
        <v>443</v>
      </c>
      <c r="C5" s="2" t="s">
        <v>397</v>
      </c>
      <c r="D5" s="2" t="s">
        <v>398</v>
      </c>
      <c r="E5" s="2" t="s">
        <v>95</v>
      </c>
    </row>
    <row r="6" spans="1:5" ht="78" x14ac:dyDescent="0.25">
      <c r="A6" s="2" t="s">
        <v>399</v>
      </c>
      <c r="B6" s="3" t="s">
        <v>444</v>
      </c>
      <c r="C6" s="3" t="s">
        <v>449</v>
      </c>
      <c r="D6" s="3" t="s">
        <v>454</v>
      </c>
      <c r="E6" s="3" t="s">
        <v>459</v>
      </c>
    </row>
    <row r="7" spans="1:5" ht="52" x14ac:dyDescent="0.25">
      <c r="A7" s="2" t="s">
        <v>400</v>
      </c>
      <c r="B7" s="3" t="s">
        <v>445</v>
      </c>
      <c r="C7" s="3" t="s">
        <v>450</v>
      </c>
      <c r="D7" s="3" t="s">
        <v>455</v>
      </c>
      <c r="E7" s="3" t="s">
        <v>460</v>
      </c>
    </row>
    <row r="8" spans="1:5" ht="26" x14ac:dyDescent="0.25">
      <c r="A8" s="2" t="s">
        <v>401</v>
      </c>
      <c r="B8" s="3" t="s">
        <v>446</v>
      </c>
      <c r="C8" s="3" t="s">
        <v>451</v>
      </c>
      <c r="D8" s="3" t="s">
        <v>456</v>
      </c>
      <c r="E8" s="3" t="s">
        <v>461</v>
      </c>
    </row>
    <row r="9" spans="1:5" ht="52" x14ac:dyDescent="0.25">
      <c r="A9" s="2" t="s">
        <v>402</v>
      </c>
      <c r="B9" s="3" t="s">
        <v>447</v>
      </c>
      <c r="C9" s="3" t="s">
        <v>452</v>
      </c>
      <c r="D9" s="3" t="s">
        <v>457</v>
      </c>
      <c r="E9" s="3" t="s">
        <v>462</v>
      </c>
    </row>
    <row r="10" spans="1:5" ht="104" x14ac:dyDescent="0.25">
      <c r="A10" s="2" t="s">
        <v>403</v>
      </c>
      <c r="B10" s="3" t="s">
        <v>448</v>
      </c>
      <c r="C10" s="3" t="s">
        <v>453</v>
      </c>
      <c r="D10" s="3" t="s">
        <v>458</v>
      </c>
      <c r="E10" s="3" t="s">
        <v>463</v>
      </c>
    </row>
  </sheetData>
  <mergeCells count="2">
    <mergeCell ref="A1:E1"/>
    <mergeCell ref="A2:E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A6A6"/>
  </sheetPr>
  <dimension ref="A1:E25"/>
  <sheetViews>
    <sheetView showGridLines="0" workbookViewId="0">
      <pane ySplit="1" topLeftCell="A7" activePane="bottomLeft" state="frozen"/>
      <selection pane="bottomLeft" activeCell="B14" sqref="B14"/>
    </sheetView>
  </sheetViews>
  <sheetFormatPr defaultColWidth="12.6328125" defaultRowHeight="15.75" customHeight="1" x14ac:dyDescent="0.25"/>
  <cols>
    <col min="1" max="1" width="21.81640625" customWidth="1"/>
    <col min="2" max="2" width="30.90625" customWidth="1"/>
    <col min="3" max="3" width="20.90625" customWidth="1"/>
    <col min="4" max="4" width="13.6328125" customWidth="1"/>
    <col min="5" max="5" width="15.453125" customWidth="1"/>
    <col min="6" max="13" width="10.90625" customWidth="1"/>
    <col min="14" max="14" width="12.453125" bestFit="1" customWidth="1"/>
  </cols>
  <sheetData>
    <row r="1" spans="1:5" ht="23.5" x14ac:dyDescent="0.25">
      <c r="A1" s="11" t="s">
        <v>185</v>
      </c>
      <c r="B1" s="11"/>
      <c r="C1" s="11"/>
      <c r="D1" s="11"/>
      <c r="E1" s="11"/>
    </row>
    <row r="2" spans="1:5" ht="13" x14ac:dyDescent="0.25">
      <c r="A2" s="12" t="s">
        <v>413</v>
      </c>
      <c r="B2" s="12"/>
      <c r="C2" s="12"/>
      <c r="D2" s="12"/>
      <c r="E2" s="12"/>
    </row>
    <row r="3" spans="1:5" ht="13" x14ac:dyDescent="0.25">
      <c r="A3" s="14" t="s">
        <v>414</v>
      </c>
      <c r="B3" s="14"/>
      <c r="C3" s="14"/>
      <c r="D3" s="14"/>
      <c r="E3" s="14"/>
    </row>
    <row r="4" spans="1:5" ht="13" x14ac:dyDescent="0.25">
      <c r="A4" s="14" t="s">
        <v>415</v>
      </c>
      <c r="B4" s="14"/>
      <c r="C4" s="14"/>
      <c r="D4" s="14"/>
      <c r="E4" s="14"/>
    </row>
    <row r="5" spans="1:5" ht="13" x14ac:dyDescent="0.25">
      <c r="A5" s="14" t="s">
        <v>416</v>
      </c>
      <c r="B5" s="14"/>
      <c r="C5" s="14"/>
      <c r="D5" s="14"/>
      <c r="E5" s="14"/>
    </row>
    <row r="6" spans="1:5" ht="13" x14ac:dyDescent="0.25">
      <c r="A6" s="2"/>
      <c r="B6" s="2"/>
      <c r="C6" s="2"/>
      <c r="D6" s="2"/>
      <c r="E6" s="2"/>
    </row>
    <row r="7" spans="1:5" ht="13" x14ac:dyDescent="0.25">
      <c r="A7" s="2" t="s">
        <v>133</v>
      </c>
      <c r="B7" s="2" t="s">
        <v>186</v>
      </c>
      <c r="C7" s="2" t="s">
        <v>187</v>
      </c>
      <c r="D7" s="2" t="s">
        <v>188</v>
      </c>
      <c r="E7" s="2" t="s">
        <v>189</v>
      </c>
    </row>
    <row r="8" spans="1:5" ht="13" x14ac:dyDescent="0.25">
      <c r="A8" s="2" t="s">
        <v>190</v>
      </c>
      <c r="B8" s="2" t="s">
        <v>98</v>
      </c>
      <c r="C8" s="33">
        <v>1067371</v>
      </c>
      <c r="D8" s="2" t="s">
        <v>191</v>
      </c>
      <c r="E8" s="2" t="s">
        <v>484</v>
      </c>
    </row>
    <row r="9" spans="1:5" ht="13" x14ac:dyDescent="0.25">
      <c r="A9" s="2" t="s">
        <v>190</v>
      </c>
      <c r="B9" s="2" t="s">
        <v>99</v>
      </c>
      <c r="C9" s="34">
        <v>40148</v>
      </c>
      <c r="D9" s="2" t="s">
        <v>192</v>
      </c>
      <c r="E9" s="2" t="s">
        <v>484</v>
      </c>
    </row>
    <row r="10" spans="1:5" ht="13" x14ac:dyDescent="0.25">
      <c r="A10" s="2" t="s">
        <v>190</v>
      </c>
      <c r="B10" s="2" t="s">
        <v>100</v>
      </c>
      <c r="C10" s="34">
        <v>40886</v>
      </c>
      <c r="D10" s="2" t="s">
        <v>192</v>
      </c>
      <c r="E10" s="2" t="s">
        <v>484</v>
      </c>
    </row>
    <row r="11" spans="1:5" ht="13" x14ac:dyDescent="0.25">
      <c r="A11" s="2" t="s">
        <v>193</v>
      </c>
      <c r="B11" s="2" t="s">
        <v>101</v>
      </c>
      <c r="C11" s="33">
        <v>53628</v>
      </c>
      <c r="D11" s="2" t="s">
        <v>139</v>
      </c>
      <c r="E11" s="2" t="s">
        <v>484</v>
      </c>
    </row>
    <row r="12" spans="1:5" ht="13" x14ac:dyDescent="0.25">
      <c r="A12" s="2" t="s">
        <v>193</v>
      </c>
      <c r="B12" s="2" t="s">
        <v>102</v>
      </c>
      <c r="C12" s="33">
        <v>5305</v>
      </c>
      <c r="D12" s="2" t="s">
        <v>194</v>
      </c>
      <c r="E12" s="2" t="s">
        <v>484</v>
      </c>
    </row>
    <row r="13" spans="1:5" ht="13" x14ac:dyDescent="0.25">
      <c r="A13" s="2" t="s">
        <v>193</v>
      </c>
      <c r="B13" s="2" t="s">
        <v>103</v>
      </c>
      <c r="C13" s="33">
        <v>5942</v>
      </c>
      <c r="D13" s="2" t="s">
        <v>195</v>
      </c>
      <c r="E13" s="2" t="s">
        <v>484</v>
      </c>
    </row>
    <row r="14" spans="1:5" ht="13" x14ac:dyDescent="0.25">
      <c r="A14" s="2" t="s">
        <v>193</v>
      </c>
      <c r="B14" s="2" t="s">
        <v>104</v>
      </c>
      <c r="C14" s="33">
        <v>43</v>
      </c>
      <c r="D14" s="2" t="s">
        <v>196</v>
      </c>
      <c r="E14" s="2" t="s">
        <v>484</v>
      </c>
    </row>
    <row r="15" spans="1:5" ht="13" x14ac:dyDescent="0.25">
      <c r="A15" s="2" t="s">
        <v>197</v>
      </c>
      <c r="B15" s="2" t="s">
        <v>198</v>
      </c>
      <c r="C15" s="33">
        <v>243007</v>
      </c>
      <c r="D15" s="2" t="s">
        <v>191</v>
      </c>
      <c r="E15" s="2" t="s">
        <v>393</v>
      </c>
    </row>
    <row r="16" spans="1:5" ht="13" x14ac:dyDescent="0.25">
      <c r="A16" s="2" t="s">
        <v>197</v>
      </c>
      <c r="B16" s="2" t="s">
        <v>105</v>
      </c>
      <c r="C16" s="33">
        <v>4382</v>
      </c>
      <c r="D16" s="2" t="s">
        <v>191</v>
      </c>
      <c r="E16" s="8" t="s">
        <v>393</v>
      </c>
    </row>
    <row r="17" spans="1:5" ht="13" x14ac:dyDescent="0.25">
      <c r="A17" s="2" t="s">
        <v>197</v>
      </c>
      <c r="B17" s="2" t="s">
        <v>106</v>
      </c>
      <c r="C17" s="33">
        <v>22950</v>
      </c>
      <c r="D17" s="2" t="s">
        <v>191</v>
      </c>
      <c r="E17" s="2" t="s">
        <v>485</v>
      </c>
    </row>
    <row r="18" spans="1:5" ht="13" x14ac:dyDescent="0.25">
      <c r="A18" s="2" t="s">
        <v>197</v>
      </c>
      <c r="B18" s="2" t="s">
        <v>107</v>
      </c>
      <c r="C18" s="33">
        <v>6202</v>
      </c>
      <c r="D18" s="2" t="s">
        <v>191</v>
      </c>
      <c r="E18" s="2" t="s">
        <v>485</v>
      </c>
    </row>
    <row r="19" spans="1:5" ht="13" x14ac:dyDescent="0.25">
      <c r="A19" s="2" t="s">
        <v>199</v>
      </c>
      <c r="B19" s="2" t="s">
        <v>108</v>
      </c>
      <c r="C19" s="33">
        <v>19494</v>
      </c>
      <c r="D19" s="2" t="s">
        <v>191</v>
      </c>
      <c r="E19" s="2" t="s">
        <v>485</v>
      </c>
    </row>
    <row r="20" spans="1:5" ht="13" x14ac:dyDescent="0.25">
      <c r="A20" s="2" t="s">
        <v>199</v>
      </c>
      <c r="B20" s="2" t="s">
        <v>109</v>
      </c>
      <c r="C20" s="33">
        <v>3457</v>
      </c>
      <c r="D20" s="2" t="s">
        <v>191</v>
      </c>
      <c r="E20" s="2" t="s">
        <v>485</v>
      </c>
    </row>
    <row r="21" spans="1:5" ht="13" x14ac:dyDescent="0.25">
      <c r="A21" s="2" t="s">
        <v>199</v>
      </c>
      <c r="B21" s="2" t="s">
        <v>110</v>
      </c>
      <c r="C21" s="30">
        <v>19287250.57</v>
      </c>
      <c r="D21" s="2" t="s">
        <v>200</v>
      </c>
      <c r="E21" s="2" t="s">
        <v>259</v>
      </c>
    </row>
    <row r="22" spans="1:5" ht="13" x14ac:dyDescent="0.25">
      <c r="A22" s="2" t="s">
        <v>201</v>
      </c>
      <c r="B22" s="2" t="s">
        <v>202</v>
      </c>
      <c r="C22" s="32">
        <f>C15/C8</f>
        <v>0.22766872999172733</v>
      </c>
      <c r="D22" s="2" t="s">
        <v>203</v>
      </c>
      <c r="E22" s="8" t="s">
        <v>393</v>
      </c>
    </row>
    <row r="23" spans="1:5" ht="13" x14ac:dyDescent="0.25">
      <c r="A23" s="2" t="s">
        <v>201</v>
      </c>
      <c r="B23" s="2" t="s">
        <v>204</v>
      </c>
      <c r="C23" s="32">
        <f>C19/C8</f>
        <v>1.8263565339511754E-2</v>
      </c>
      <c r="D23" s="2" t="s">
        <v>203</v>
      </c>
      <c r="E23" s="2" t="s">
        <v>485</v>
      </c>
    </row>
    <row r="24" spans="1:5" ht="13" x14ac:dyDescent="0.25">
      <c r="A24" s="2" t="s">
        <v>201</v>
      </c>
      <c r="B24" s="2" t="s">
        <v>205</v>
      </c>
      <c r="C24" s="32">
        <f>C17/C8</f>
        <v>2.1501427338760374E-2</v>
      </c>
      <c r="D24" s="2" t="s">
        <v>203</v>
      </c>
      <c r="E24" s="2" t="s">
        <v>485</v>
      </c>
    </row>
    <row r="25" spans="1:5" ht="13" x14ac:dyDescent="0.25">
      <c r="A25" s="2" t="s">
        <v>201</v>
      </c>
      <c r="B25" s="2" t="s">
        <v>206</v>
      </c>
      <c r="C25" s="32">
        <f>C18/C8</f>
        <v>5.8105382289756792E-3</v>
      </c>
      <c r="D25" s="2" t="s">
        <v>203</v>
      </c>
      <c r="E25" s="2" t="s">
        <v>485</v>
      </c>
    </row>
  </sheetData>
  <mergeCells count="5">
    <mergeCell ref="A4:E4"/>
    <mergeCell ref="A5:E5"/>
    <mergeCell ref="A1:E1"/>
    <mergeCell ref="A2:E2"/>
    <mergeCell ref="A3:E3"/>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A6A6"/>
  </sheetPr>
  <dimension ref="A1:D8"/>
  <sheetViews>
    <sheetView showGridLines="0" workbookViewId="0">
      <pane ySplit="1" topLeftCell="A2" activePane="bottomLeft" state="frozen"/>
      <selection pane="bottomLeft" activeCell="A15" sqref="A15"/>
    </sheetView>
  </sheetViews>
  <sheetFormatPr defaultColWidth="15.54296875" defaultRowHeight="15.75" customHeight="1" x14ac:dyDescent="0.25"/>
  <cols>
    <col min="1" max="2" width="20.90625" customWidth="1"/>
    <col min="3" max="3" width="16.36328125" customWidth="1"/>
    <col min="4" max="4" width="14.54296875" customWidth="1"/>
  </cols>
  <sheetData>
    <row r="1" spans="1:4" ht="23.5" x14ac:dyDescent="0.25">
      <c r="A1" s="11" t="s">
        <v>163</v>
      </c>
      <c r="B1" s="11"/>
      <c r="C1" s="11"/>
      <c r="D1" s="11"/>
    </row>
    <row r="2" spans="1:4" ht="13" x14ac:dyDescent="0.25">
      <c r="A2" s="12" t="s">
        <v>417</v>
      </c>
      <c r="B2" s="12"/>
      <c r="C2" s="12"/>
      <c r="D2" s="12"/>
    </row>
    <row r="3" spans="1:4" ht="13" x14ac:dyDescent="0.25">
      <c r="A3" s="14" t="s">
        <v>418</v>
      </c>
      <c r="B3" s="14"/>
      <c r="C3" s="14"/>
      <c r="D3" s="14"/>
    </row>
    <row r="4" spans="1:4" ht="13" x14ac:dyDescent="0.25">
      <c r="A4" s="14" t="s">
        <v>419</v>
      </c>
      <c r="B4" s="14"/>
      <c r="C4" s="14"/>
      <c r="D4" s="14"/>
    </row>
    <row r="5" spans="1:4" ht="13" x14ac:dyDescent="0.25">
      <c r="A5" s="14" t="s">
        <v>420</v>
      </c>
      <c r="B5" s="14"/>
      <c r="C5" s="14"/>
      <c r="D5" s="14"/>
    </row>
    <row r="6" spans="1:4" ht="13" x14ac:dyDescent="0.25">
      <c r="A6" s="2"/>
      <c r="B6" s="2"/>
      <c r="C6" s="2"/>
      <c r="D6" s="2"/>
    </row>
    <row r="7" spans="1:4" ht="13" x14ac:dyDescent="0.25">
      <c r="A7" s="2" t="s">
        <v>111</v>
      </c>
      <c r="B7" s="2" t="s">
        <v>112</v>
      </c>
      <c r="C7" s="2" t="s">
        <v>207</v>
      </c>
      <c r="D7" s="2" t="s">
        <v>189</v>
      </c>
    </row>
    <row r="8" spans="1:4" ht="13" x14ac:dyDescent="0.25">
      <c r="A8" s="5">
        <v>1067371</v>
      </c>
      <c r="B8" s="5">
        <v>1067371</v>
      </c>
      <c r="C8" s="5">
        <f>B8-A8</f>
        <v>0</v>
      </c>
      <c r="D8" s="6" t="str">
        <f>IF(C8=0,"PASS","FAIL")</f>
        <v>PASS</v>
      </c>
    </row>
  </sheetData>
  <mergeCells count="5">
    <mergeCell ref="A4:D4"/>
    <mergeCell ref="A5:D5"/>
    <mergeCell ref="A1:D1"/>
    <mergeCell ref="A2:D2"/>
    <mergeCell ref="A3:D3"/>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A6A6"/>
  </sheetPr>
  <dimension ref="A1:D8"/>
  <sheetViews>
    <sheetView showGridLines="0" workbookViewId="0">
      <pane ySplit="1" topLeftCell="A2" activePane="bottomLeft" state="frozen"/>
      <selection pane="bottomLeft" activeCell="C13" sqref="C13"/>
    </sheetView>
  </sheetViews>
  <sheetFormatPr defaultColWidth="12.6328125" defaultRowHeight="15.75" customHeight="1" x14ac:dyDescent="0.25"/>
  <cols>
    <col min="1" max="2" width="24.54296875" customWidth="1"/>
    <col min="3" max="3" width="19.08984375" customWidth="1"/>
    <col min="4" max="4" width="14.54296875" customWidth="1"/>
  </cols>
  <sheetData>
    <row r="1" spans="1:4" ht="23.5" x14ac:dyDescent="0.25">
      <c r="A1" s="11" t="s">
        <v>113</v>
      </c>
      <c r="B1" s="11"/>
      <c r="C1" s="11"/>
      <c r="D1" s="11"/>
    </row>
    <row r="2" spans="1:4" ht="13" x14ac:dyDescent="0.25">
      <c r="A2" s="12" t="s">
        <v>421</v>
      </c>
      <c r="B2" s="12"/>
      <c r="C2" s="12"/>
      <c r="D2" s="12"/>
    </row>
    <row r="3" spans="1:4" ht="13" x14ac:dyDescent="0.25">
      <c r="A3" s="14" t="s">
        <v>422</v>
      </c>
      <c r="B3" s="14"/>
      <c r="C3" s="14"/>
      <c r="D3" s="14"/>
    </row>
    <row r="4" spans="1:4" ht="13" x14ac:dyDescent="0.25">
      <c r="A4" s="14" t="s">
        <v>419</v>
      </c>
      <c r="B4" s="14"/>
      <c r="C4" s="14"/>
      <c r="D4" s="14"/>
    </row>
    <row r="5" spans="1:4" ht="13" x14ac:dyDescent="0.25">
      <c r="A5" s="14" t="s">
        <v>423</v>
      </c>
      <c r="B5" s="14"/>
      <c r="C5" s="14"/>
      <c r="D5" s="14"/>
    </row>
    <row r="6" spans="1:4" ht="13" x14ac:dyDescent="0.25">
      <c r="A6" s="2"/>
      <c r="B6" s="2"/>
      <c r="C6" s="2"/>
      <c r="D6" s="2"/>
    </row>
    <row r="7" spans="1:4" ht="13" x14ac:dyDescent="0.25">
      <c r="A7" s="2" t="s">
        <v>114</v>
      </c>
      <c r="B7" s="2" t="s">
        <v>115</v>
      </c>
      <c r="C7" s="2" t="s">
        <v>207</v>
      </c>
      <c r="D7" s="2" t="s">
        <v>189</v>
      </c>
    </row>
    <row r="8" spans="1:4" ht="13" x14ac:dyDescent="0.25">
      <c r="A8" s="30">
        <v>19287250.57</v>
      </c>
      <c r="B8" s="30">
        <v>19287250.57</v>
      </c>
      <c r="C8" s="7">
        <f>B8-A8</f>
        <v>0</v>
      </c>
      <c r="D8" s="6" t="str">
        <f>IF(ABS(C8)&lt;0.01,"PASS","FAIL")</f>
        <v>PASS</v>
      </c>
    </row>
  </sheetData>
  <mergeCells count="5">
    <mergeCell ref="A4:D4"/>
    <mergeCell ref="A5:D5"/>
    <mergeCell ref="A1:D1"/>
    <mergeCell ref="A2:D2"/>
    <mergeCell ref="A3:D3"/>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A6A6"/>
  </sheetPr>
  <dimension ref="A1:C10"/>
  <sheetViews>
    <sheetView showGridLines="0" workbookViewId="0">
      <pane ySplit="1" topLeftCell="A2" activePane="bottomLeft" state="frozen"/>
      <selection pane="bottomLeft" activeCell="C13" sqref="C13"/>
    </sheetView>
  </sheetViews>
  <sheetFormatPr defaultColWidth="12.6328125" defaultRowHeight="15.75" customHeight="1" x14ac:dyDescent="0.25"/>
  <cols>
    <col min="1" max="1" width="45.453125" customWidth="1"/>
    <col min="2" max="2" width="16.36328125" customWidth="1"/>
    <col min="3" max="3" width="14.54296875" customWidth="1"/>
  </cols>
  <sheetData>
    <row r="1" spans="1:3" ht="23.5" x14ac:dyDescent="0.25">
      <c r="A1" s="11" t="s">
        <v>208</v>
      </c>
      <c r="B1" s="11"/>
      <c r="C1" s="11"/>
    </row>
    <row r="2" spans="1:3" ht="13" x14ac:dyDescent="0.25">
      <c r="A2" s="12" t="s">
        <v>424</v>
      </c>
      <c r="B2" s="12"/>
      <c r="C2" s="12"/>
    </row>
    <row r="3" spans="1:3" ht="13" x14ac:dyDescent="0.25">
      <c r="A3" s="14" t="s">
        <v>425</v>
      </c>
      <c r="B3" s="14"/>
      <c r="C3" s="14"/>
    </row>
    <row r="4" spans="1:3" ht="13" x14ac:dyDescent="0.25">
      <c r="A4" s="14" t="s">
        <v>426</v>
      </c>
      <c r="B4" s="14"/>
      <c r="C4" s="14"/>
    </row>
    <row r="5" spans="1:3" ht="13" x14ac:dyDescent="0.25">
      <c r="A5" s="14" t="s">
        <v>427</v>
      </c>
      <c r="B5" s="14"/>
      <c r="C5" s="14"/>
    </row>
    <row r="6" spans="1:3" ht="13" x14ac:dyDescent="0.25">
      <c r="A6" s="2"/>
      <c r="B6" s="2"/>
      <c r="C6" s="2"/>
    </row>
    <row r="7" spans="1:3" ht="13" x14ac:dyDescent="0.25">
      <c r="A7" s="2" t="s">
        <v>209</v>
      </c>
      <c r="B7" s="2" t="s">
        <v>210</v>
      </c>
      <c r="C7" s="2" t="s">
        <v>189</v>
      </c>
    </row>
    <row r="8" spans="1:3" ht="13" x14ac:dyDescent="0.25">
      <c r="A8" s="2" t="s">
        <v>211</v>
      </c>
      <c r="B8" s="5">
        <v>0</v>
      </c>
      <c r="C8" s="6" t="str">
        <f>IF(B8=0,"PASS","FAIL")</f>
        <v>PASS</v>
      </c>
    </row>
    <row r="9" spans="1:3" ht="13" x14ac:dyDescent="0.25">
      <c r="A9" s="2" t="s">
        <v>212</v>
      </c>
      <c r="B9" s="5">
        <v>0</v>
      </c>
      <c r="C9" s="6" t="str">
        <f>IF(B9=0,"PASS","FAIL")</f>
        <v>PASS</v>
      </c>
    </row>
    <row r="10" spans="1:3" ht="13" x14ac:dyDescent="0.25">
      <c r="A10" s="2" t="s">
        <v>213</v>
      </c>
      <c r="B10" s="5">
        <v>0</v>
      </c>
      <c r="C10" s="6" t="str">
        <f>IF(B10=0,"PASS","FAIL")</f>
        <v>PASS</v>
      </c>
    </row>
  </sheetData>
  <mergeCells count="5">
    <mergeCell ref="A1:C1"/>
    <mergeCell ref="A2:C2"/>
    <mergeCell ref="A3:C3"/>
    <mergeCell ref="A4:C4"/>
    <mergeCell ref="A5:C5"/>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A6A6"/>
  </sheetPr>
  <dimension ref="A1:D15"/>
  <sheetViews>
    <sheetView showGridLines="0" workbookViewId="0">
      <pane ySplit="1" topLeftCell="A2" activePane="bottomLeft" state="frozen"/>
      <selection pane="bottomLeft" activeCell="C13" sqref="C13"/>
    </sheetView>
  </sheetViews>
  <sheetFormatPr defaultColWidth="12.6328125" defaultRowHeight="15.75" customHeight="1" x14ac:dyDescent="0.25"/>
  <cols>
    <col min="1" max="1" width="30.90625" customWidth="1"/>
    <col min="2" max="2" width="21.81640625" customWidth="1"/>
    <col min="3" max="3" width="13.6328125" customWidth="1"/>
    <col min="4" max="4" width="15.453125" customWidth="1"/>
    <col min="5" max="5" width="16.7265625" customWidth="1"/>
  </cols>
  <sheetData>
    <row r="1" spans="1:4" ht="23.5" x14ac:dyDescent="0.25">
      <c r="A1" s="11" t="s">
        <v>116</v>
      </c>
      <c r="B1" s="11"/>
      <c r="C1" s="11"/>
      <c r="D1" s="11"/>
    </row>
    <row r="2" spans="1:4" ht="13" x14ac:dyDescent="0.25">
      <c r="A2" s="12" t="s">
        <v>428</v>
      </c>
      <c r="B2" s="12"/>
      <c r="C2" s="12"/>
      <c r="D2" s="12"/>
    </row>
    <row r="3" spans="1:4" ht="13" x14ac:dyDescent="0.25">
      <c r="A3" s="14" t="s">
        <v>429</v>
      </c>
      <c r="B3" s="14"/>
      <c r="C3" s="14"/>
      <c r="D3" s="14"/>
    </row>
    <row r="4" spans="1:4" ht="13" x14ac:dyDescent="0.25">
      <c r="A4" s="14" t="s">
        <v>430</v>
      </c>
      <c r="B4" s="14"/>
      <c r="C4" s="14"/>
      <c r="D4" s="14"/>
    </row>
    <row r="5" spans="1:4" ht="13" x14ac:dyDescent="0.25">
      <c r="A5" s="14" t="s">
        <v>214</v>
      </c>
      <c r="B5" s="14"/>
      <c r="C5" s="14"/>
      <c r="D5" s="14"/>
    </row>
    <row r="6" spans="1:4" ht="13" x14ac:dyDescent="0.25">
      <c r="A6" s="2"/>
      <c r="B6" s="2"/>
      <c r="C6" s="2"/>
      <c r="D6" s="2"/>
    </row>
    <row r="7" spans="1:4" ht="13" x14ac:dyDescent="0.25">
      <c r="A7" s="2" t="s">
        <v>186</v>
      </c>
      <c r="B7" s="2" t="s">
        <v>187</v>
      </c>
      <c r="C7" s="2" t="s">
        <v>188</v>
      </c>
      <c r="D7" s="2" t="s">
        <v>189</v>
      </c>
    </row>
    <row r="8" spans="1:4" ht="13" x14ac:dyDescent="0.25">
      <c r="A8" s="2" t="s">
        <v>117</v>
      </c>
      <c r="B8" s="33">
        <v>1067371</v>
      </c>
      <c r="C8" s="2" t="s">
        <v>191</v>
      </c>
      <c r="D8" s="2" t="s">
        <v>484</v>
      </c>
    </row>
    <row r="9" spans="1:4" ht="13" x14ac:dyDescent="0.25">
      <c r="A9" s="2" t="s">
        <v>108</v>
      </c>
      <c r="B9" s="33">
        <v>19494</v>
      </c>
      <c r="C9" s="2" t="s">
        <v>191</v>
      </c>
      <c r="D9" s="2" t="s">
        <v>485</v>
      </c>
    </row>
    <row r="10" spans="1:4" ht="13" x14ac:dyDescent="0.25">
      <c r="A10" s="2" t="s">
        <v>109</v>
      </c>
      <c r="B10" s="33">
        <v>3457</v>
      </c>
      <c r="C10" s="2" t="s">
        <v>191</v>
      </c>
      <c r="D10" s="2" t="s">
        <v>485</v>
      </c>
    </row>
    <row r="11" spans="1:4" ht="13" x14ac:dyDescent="0.25">
      <c r="A11" s="2" t="s">
        <v>475</v>
      </c>
      <c r="B11" s="30">
        <v>1526667.86</v>
      </c>
      <c r="C11" s="2" t="s">
        <v>200</v>
      </c>
      <c r="D11" s="2" t="s">
        <v>485</v>
      </c>
    </row>
    <row r="12" spans="1:4" ht="13" x14ac:dyDescent="0.25">
      <c r="A12" s="2" t="s">
        <v>118</v>
      </c>
      <c r="B12" s="30">
        <v>0</v>
      </c>
      <c r="C12" s="2" t="s">
        <v>200</v>
      </c>
      <c r="D12" s="2" t="s">
        <v>485</v>
      </c>
    </row>
    <row r="13" spans="1:4" ht="13" x14ac:dyDescent="0.25">
      <c r="A13" s="2"/>
      <c r="B13" s="2"/>
      <c r="C13" s="2"/>
      <c r="D13" s="2"/>
    </row>
    <row r="14" spans="1:4" ht="12.5" x14ac:dyDescent="0.25">
      <c r="A14" s="14" t="s">
        <v>215</v>
      </c>
      <c r="B14" s="14"/>
      <c r="C14" s="14"/>
      <c r="D14" s="14"/>
    </row>
    <row r="15" spans="1:4" ht="12.5" x14ac:dyDescent="0.25">
      <c r="A15" s="14"/>
      <c r="B15" s="14"/>
      <c r="C15" s="14"/>
      <c r="D15" s="14"/>
    </row>
  </sheetData>
  <mergeCells count="6">
    <mergeCell ref="A4:D4"/>
    <mergeCell ref="A5:D5"/>
    <mergeCell ref="A14:D15"/>
    <mergeCell ref="A1:D1"/>
    <mergeCell ref="A2:D2"/>
    <mergeCell ref="A3:D3"/>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B9BD5"/>
  </sheetPr>
  <dimension ref="A1:I32"/>
  <sheetViews>
    <sheetView showGridLines="0" workbookViewId="0">
      <pane ySplit="7" topLeftCell="A8" activePane="bottomLeft" state="frozen"/>
      <selection pane="bottomLeft" activeCell="C13" sqref="C13"/>
    </sheetView>
  </sheetViews>
  <sheetFormatPr defaultColWidth="12.6328125" defaultRowHeight="15.75" customHeight="1" x14ac:dyDescent="0.25"/>
  <cols>
    <col min="1" max="1" width="10.90625" customWidth="1"/>
    <col min="2" max="2" width="12.7265625" customWidth="1"/>
    <col min="3" max="3" width="16.36328125" customWidth="1"/>
    <col min="4" max="4" width="15.453125" customWidth="1"/>
    <col min="5" max="6" width="20" customWidth="1"/>
    <col min="7" max="7" width="13.6328125" customWidth="1"/>
    <col min="8" max="8" width="15.453125" customWidth="1"/>
    <col min="9" max="9" width="20" customWidth="1"/>
  </cols>
  <sheetData>
    <row r="1" spans="1:9" ht="23.5" x14ac:dyDescent="0.25">
      <c r="A1" s="11" t="s">
        <v>119</v>
      </c>
      <c r="B1" s="11"/>
      <c r="C1" s="11"/>
      <c r="D1" s="11"/>
      <c r="E1" s="11"/>
      <c r="F1" s="11"/>
      <c r="G1" s="11"/>
      <c r="H1" s="11"/>
      <c r="I1" s="11"/>
    </row>
    <row r="2" spans="1:9" ht="13" x14ac:dyDescent="0.25">
      <c r="A2" s="12" t="s">
        <v>216</v>
      </c>
      <c r="B2" s="12"/>
      <c r="C2" s="12"/>
      <c r="D2" s="12"/>
      <c r="E2" s="12"/>
      <c r="F2" s="12"/>
      <c r="G2" s="12"/>
      <c r="H2" s="12"/>
      <c r="I2" s="12"/>
    </row>
    <row r="3" spans="1:9" ht="13" x14ac:dyDescent="0.25">
      <c r="A3" s="14" t="s">
        <v>217</v>
      </c>
      <c r="B3" s="14"/>
      <c r="C3" s="14"/>
      <c r="D3" s="14"/>
      <c r="E3" s="14"/>
      <c r="F3" s="14"/>
      <c r="G3" s="14"/>
      <c r="H3" s="14"/>
      <c r="I3" s="14"/>
    </row>
    <row r="4" spans="1:9" ht="13" x14ac:dyDescent="0.25">
      <c r="A4" s="14" t="s">
        <v>218</v>
      </c>
      <c r="B4" s="14"/>
      <c r="C4" s="14"/>
      <c r="D4" s="14"/>
      <c r="E4" s="14"/>
      <c r="F4" s="14"/>
      <c r="G4" s="14"/>
      <c r="H4" s="14"/>
      <c r="I4" s="14"/>
    </row>
    <row r="5" spans="1:9" ht="13" x14ac:dyDescent="0.25">
      <c r="A5" s="14" t="s">
        <v>219</v>
      </c>
      <c r="B5" s="14"/>
      <c r="C5" s="14"/>
      <c r="D5" s="14"/>
      <c r="E5" s="14"/>
      <c r="F5" s="14"/>
      <c r="G5" s="14"/>
      <c r="H5" s="14"/>
      <c r="I5" s="14"/>
    </row>
    <row r="6" spans="1:9" ht="13" x14ac:dyDescent="0.25">
      <c r="A6" s="2"/>
      <c r="B6" s="2"/>
      <c r="C6" s="2"/>
      <c r="D6" s="2"/>
      <c r="E6" s="2"/>
      <c r="F6" s="2"/>
      <c r="G6" s="2"/>
      <c r="H6" s="2"/>
      <c r="I6" s="2"/>
    </row>
    <row r="7" spans="1:9" s="1" customFormat="1" ht="13" x14ac:dyDescent="0.25">
      <c r="A7" s="3" t="s">
        <v>120</v>
      </c>
      <c r="B7" s="3" t="s">
        <v>121</v>
      </c>
      <c r="C7" s="3" t="s">
        <v>122</v>
      </c>
      <c r="D7" s="3" t="s">
        <v>123</v>
      </c>
      <c r="E7" s="3" t="s">
        <v>124</v>
      </c>
      <c r="F7" s="3" t="s">
        <v>125</v>
      </c>
      <c r="G7" s="3" t="s">
        <v>126</v>
      </c>
      <c r="H7" s="3" t="s">
        <v>127</v>
      </c>
      <c r="I7" s="3" t="s">
        <v>128</v>
      </c>
    </row>
    <row r="8" spans="1:9" ht="13" x14ac:dyDescent="0.25">
      <c r="A8" s="9">
        <v>2009</v>
      </c>
      <c r="B8" s="5">
        <v>12</v>
      </c>
      <c r="C8" s="2" t="s">
        <v>9</v>
      </c>
      <c r="D8" s="2" t="s">
        <v>10</v>
      </c>
      <c r="E8" s="30">
        <v>825685.76</v>
      </c>
      <c r="F8" s="30">
        <v>799847.11</v>
      </c>
      <c r="G8" s="5">
        <v>1929</v>
      </c>
      <c r="H8" s="5">
        <v>430106</v>
      </c>
      <c r="I8" s="30">
        <v>428.04</v>
      </c>
    </row>
    <row r="9" spans="1:9" ht="13" x14ac:dyDescent="0.25">
      <c r="A9" s="9">
        <v>2010</v>
      </c>
      <c r="B9" s="5">
        <v>1</v>
      </c>
      <c r="C9" s="2" t="s">
        <v>12</v>
      </c>
      <c r="D9" s="2" t="s">
        <v>13</v>
      </c>
      <c r="E9" s="30">
        <v>652708.5</v>
      </c>
      <c r="F9" s="30">
        <v>624032.89</v>
      </c>
      <c r="G9" s="5">
        <v>1333</v>
      </c>
      <c r="H9" s="5">
        <v>379243</v>
      </c>
      <c r="I9" s="30">
        <v>489.65</v>
      </c>
    </row>
    <row r="10" spans="1:9" ht="13" x14ac:dyDescent="0.25">
      <c r="A10" s="9">
        <v>2010</v>
      </c>
      <c r="B10" s="5">
        <v>2</v>
      </c>
      <c r="C10" s="2" t="s">
        <v>14</v>
      </c>
      <c r="D10" s="2" t="s">
        <v>15</v>
      </c>
      <c r="E10" s="30">
        <v>553339.74</v>
      </c>
      <c r="F10" s="30">
        <v>533091.43000000005</v>
      </c>
      <c r="G10" s="5">
        <v>1729</v>
      </c>
      <c r="H10" s="5">
        <v>375354</v>
      </c>
      <c r="I10" s="30">
        <v>320.02999999999997</v>
      </c>
    </row>
    <row r="11" spans="1:9" ht="13" x14ac:dyDescent="0.25">
      <c r="A11" s="9">
        <v>2010</v>
      </c>
      <c r="B11" s="5">
        <v>3</v>
      </c>
      <c r="C11" s="2" t="s">
        <v>16</v>
      </c>
      <c r="D11" s="2" t="s">
        <v>17</v>
      </c>
      <c r="E11" s="30">
        <v>833570.13</v>
      </c>
      <c r="F11" s="30">
        <v>765848.76</v>
      </c>
      <c r="G11" s="5">
        <v>1960</v>
      </c>
      <c r="H11" s="5">
        <v>493864</v>
      </c>
      <c r="I11" s="30">
        <v>425.29</v>
      </c>
    </row>
    <row r="12" spans="1:9" ht="13" x14ac:dyDescent="0.25">
      <c r="A12" s="9">
        <v>2010</v>
      </c>
      <c r="B12" s="5">
        <v>4</v>
      </c>
      <c r="C12" s="2" t="s">
        <v>18</v>
      </c>
      <c r="D12" s="2" t="s">
        <v>19</v>
      </c>
      <c r="E12" s="30">
        <v>627934.63</v>
      </c>
      <c r="F12" s="30">
        <v>590580.43000000005</v>
      </c>
      <c r="G12" s="5">
        <v>1588</v>
      </c>
      <c r="H12" s="5">
        <v>358454</v>
      </c>
      <c r="I12" s="30">
        <v>395.42</v>
      </c>
    </row>
    <row r="13" spans="1:9" ht="13" x14ac:dyDescent="0.25">
      <c r="A13" s="9">
        <v>2010</v>
      </c>
      <c r="B13" s="5">
        <v>5</v>
      </c>
      <c r="C13" s="2" t="s">
        <v>20</v>
      </c>
      <c r="D13" s="2" t="s">
        <v>21</v>
      </c>
      <c r="E13" s="30">
        <v>659858.86</v>
      </c>
      <c r="F13" s="30">
        <v>615322.82999999996</v>
      </c>
      <c r="G13" s="5">
        <v>2011</v>
      </c>
      <c r="H13" s="5">
        <v>380709</v>
      </c>
      <c r="I13" s="30">
        <v>328.12</v>
      </c>
    </row>
    <row r="14" spans="1:9" ht="13" x14ac:dyDescent="0.25">
      <c r="A14" s="9">
        <v>2010</v>
      </c>
      <c r="B14" s="5">
        <v>6</v>
      </c>
      <c r="C14" s="2" t="s">
        <v>22</v>
      </c>
      <c r="D14" s="2" t="s">
        <v>23</v>
      </c>
      <c r="E14" s="30">
        <v>752270.14</v>
      </c>
      <c r="F14" s="30">
        <v>679786.61</v>
      </c>
      <c r="G14" s="5">
        <v>1859</v>
      </c>
      <c r="H14" s="5">
        <v>403747</v>
      </c>
      <c r="I14" s="30">
        <v>404.66</v>
      </c>
    </row>
    <row r="15" spans="1:9" ht="13" x14ac:dyDescent="0.25">
      <c r="A15" s="9">
        <v>2010</v>
      </c>
      <c r="B15" s="5">
        <v>7</v>
      </c>
      <c r="C15" s="2" t="s">
        <v>24</v>
      </c>
      <c r="D15" s="2" t="s">
        <v>25</v>
      </c>
      <c r="E15" s="30">
        <v>606681.15</v>
      </c>
      <c r="F15" s="30">
        <v>575236.36</v>
      </c>
      <c r="G15" s="5">
        <v>1673</v>
      </c>
      <c r="H15" s="5">
        <v>308386</v>
      </c>
      <c r="I15" s="30">
        <v>362.63</v>
      </c>
    </row>
    <row r="16" spans="1:9" ht="13" x14ac:dyDescent="0.25">
      <c r="A16" s="9">
        <v>2010</v>
      </c>
      <c r="B16" s="5">
        <v>8</v>
      </c>
      <c r="C16" s="2" t="s">
        <v>26</v>
      </c>
      <c r="D16" s="2" t="s">
        <v>27</v>
      </c>
      <c r="E16" s="30">
        <v>697274.91</v>
      </c>
      <c r="F16" s="30">
        <v>656776.34</v>
      </c>
      <c r="G16" s="5">
        <v>1604</v>
      </c>
      <c r="H16" s="5">
        <v>458505</v>
      </c>
      <c r="I16" s="30">
        <v>434.71</v>
      </c>
    </row>
    <row r="17" spans="1:9" ht="13" x14ac:dyDescent="0.25">
      <c r="A17" s="9">
        <v>2010</v>
      </c>
      <c r="B17" s="5">
        <v>9</v>
      </c>
      <c r="C17" s="2" t="s">
        <v>28</v>
      </c>
      <c r="D17" s="2" t="s">
        <v>29</v>
      </c>
      <c r="E17" s="30">
        <v>924333.01</v>
      </c>
      <c r="F17" s="30">
        <v>853650.43</v>
      </c>
      <c r="G17" s="5">
        <v>2004</v>
      </c>
      <c r="H17" s="5">
        <v>573582</v>
      </c>
      <c r="I17" s="30">
        <v>461.24</v>
      </c>
    </row>
    <row r="18" spans="1:9" ht="13" x14ac:dyDescent="0.25">
      <c r="A18" s="9">
        <v>2010</v>
      </c>
      <c r="B18" s="5">
        <v>10</v>
      </c>
      <c r="C18" s="2" t="s">
        <v>30</v>
      </c>
      <c r="D18" s="2" t="s">
        <v>31</v>
      </c>
      <c r="E18" s="30">
        <v>1126558.04</v>
      </c>
      <c r="F18" s="30">
        <v>1045168.35</v>
      </c>
      <c r="G18" s="5">
        <v>2489</v>
      </c>
      <c r="H18" s="5">
        <v>613258</v>
      </c>
      <c r="I18" s="30">
        <v>452.61</v>
      </c>
    </row>
    <row r="19" spans="1:9" ht="13" x14ac:dyDescent="0.25">
      <c r="A19" s="9">
        <v>2010</v>
      </c>
      <c r="B19" s="5">
        <v>11</v>
      </c>
      <c r="C19" s="2" t="s">
        <v>33</v>
      </c>
      <c r="D19" s="2" t="s">
        <v>34</v>
      </c>
      <c r="E19" s="30">
        <v>1470272.48</v>
      </c>
      <c r="F19" s="30">
        <v>1422654.64</v>
      </c>
      <c r="G19" s="5">
        <v>3093</v>
      </c>
      <c r="H19" s="5">
        <v>691574</v>
      </c>
      <c r="I19" s="30">
        <v>475.35</v>
      </c>
    </row>
    <row r="20" spans="1:9" ht="13" x14ac:dyDescent="0.25">
      <c r="A20" s="9">
        <v>2010</v>
      </c>
      <c r="B20" s="5">
        <v>12</v>
      </c>
      <c r="C20" s="2" t="s">
        <v>9</v>
      </c>
      <c r="D20" s="2" t="s">
        <v>37</v>
      </c>
      <c r="E20" s="30">
        <v>1262598.79</v>
      </c>
      <c r="F20" s="30">
        <v>1126445.47</v>
      </c>
      <c r="G20" s="5">
        <v>1699</v>
      </c>
      <c r="H20" s="5">
        <v>536947</v>
      </c>
      <c r="I20" s="30">
        <v>743.14</v>
      </c>
    </row>
    <row r="21" spans="1:9" ht="13" x14ac:dyDescent="0.25">
      <c r="A21" s="9">
        <v>2011</v>
      </c>
      <c r="B21" s="5">
        <v>1</v>
      </c>
      <c r="C21" s="2" t="s">
        <v>12</v>
      </c>
      <c r="D21" s="2" t="s">
        <v>39</v>
      </c>
      <c r="E21" s="30">
        <v>691364.56</v>
      </c>
      <c r="F21" s="30">
        <v>560000.26</v>
      </c>
      <c r="G21" s="5">
        <v>1216</v>
      </c>
      <c r="H21" s="5">
        <v>388811</v>
      </c>
      <c r="I21" s="30">
        <v>568.55999999999995</v>
      </c>
    </row>
    <row r="22" spans="1:9" ht="13" x14ac:dyDescent="0.25">
      <c r="A22" s="9">
        <v>2011</v>
      </c>
      <c r="B22" s="5">
        <v>2</v>
      </c>
      <c r="C22" s="2" t="s">
        <v>14</v>
      </c>
      <c r="D22" s="2" t="s">
        <v>41</v>
      </c>
      <c r="E22" s="30">
        <v>523631.89</v>
      </c>
      <c r="F22" s="30">
        <v>498062.65</v>
      </c>
      <c r="G22" s="5">
        <v>1174</v>
      </c>
      <c r="H22" s="5">
        <v>280860</v>
      </c>
      <c r="I22" s="30">
        <v>446.02</v>
      </c>
    </row>
    <row r="23" spans="1:9" ht="13" x14ac:dyDescent="0.25">
      <c r="A23" s="9">
        <v>2011</v>
      </c>
      <c r="B23" s="5">
        <v>3</v>
      </c>
      <c r="C23" s="2" t="s">
        <v>16</v>
      </c>
      <c r="D23" s="2" t="s">
        <v>43</v>
      </c>
      <c r="E23" s="30">
        <v>717639.36</v>
      </c>
      <c r="F23" s="30">
        <v>683267.08</v>
      </c>
      <c r="G23" s="5">
        <v>1665</v>
      </c>
      <c r="H23" s="5">
        <v>357267</v>
      </c>
      <c r="I23" s="30">
        <v>431.01</v>
      </c>
    </row>
    <row r="24" spans="1:9" ht="13" x14ac:dyDescent="0.25">
      <c r="A24" s="9">
        <v>2011</v>
      </c>
      <c r="B24" s="5">
        <v>4</v>
      </c>
      <c r="C24" s="2" t="s">
        <v>18</v>
      </c>
      <c r="D24" s="2" t="s">
        <v>46</v>
      </c>
      <c r="E24" s="30">
        <v>537808.62</v>
      </c>
      <c r="F24" s="30">
        <v>493207.12</v>
      </c>
      <c r="G24" s="5">
        <v>1504</v>
      </c>
      <c r="H24" s="5">
        <v>302743</v>
      </c>
      <c r="I24" s="30">
        <v>357.59</v>
      </c>
    </row>
    <row r="25" spans="1:9" ht="13" x14ac:dyDescent="0.25">
      <c r="A25" s="9">
        <v>2011</v>
      </c>
      <c r="B25" s="5">
        <v>5</v>
      </c>
      <c r="C25" s="2" t="s">
        <v>20</v>
      </c>
      <c r="D25" s="2" t="s">
        <v>51</v>
      </c>
      <c r="E25" s="30">
        <v>770536.02</v>
      </c>
      <c r="F25" s="30">
        <v>723333.51</v>
      </c>
      <c r="G25" s="5">
        <v>1848</v>
      </c>
      <c r="H25" s="5">
        <v>386259</v>
      </c>
      <c r="I25" s="30">
        <v>416.96</v>
      </c>
    </row>
    <row r="26" spans="1:9" ht="13" x14ac:dyDescent="0.25">
      <c r="A26" s="9">
        <v>2011</v>
      </c>
      <c r="B26" s="5">
        <v>6</v>
      </c>
      <c r="C26" s="2" t="s">
        <v>22</v>
      </c>
      <c r="D26" s="2" t="s">
        <v>53</v>
      </c>
      <c r="E26" s="30">
        <v>761739.9</v>
      </c>
      <c r="F26" s="30">
        <v>691123.12</v>
      </c>
      <c r="G26" s="5">
        <v>1683</v>
      </c>
      <c r="H26" s="5">
        <v>348985</v>
      </c>
      <c r="I26" s="30">
        <v>452.61</v>
      </c>
    </row>
    <row r="27" spans="1:9" ht="13" x14ac:dyDescent="0.25">
      <c r="A27" s="9">
        <v>2011</v>
      </c>
      <c r="B27" s="5">
        <v>7</v>
      </c>
      <c r="C27" s="2" t="s">
        <v>24</v>
      </c>
      <c r="D27" s="2" t="s">
        <v>57</v>
      </c>
      <c r="E27" s="30">
        <v>719221.19</v>
      </c>
      <c r="F27" s="30">
        <v>681300.11</v>
      </c>
      <c r="G27" s="5">
        <v>1657</v>
      </c>
      <c r="H27" s="5">
        <v>397144</v>
      </c>
      <c r="I27" s="30">
        <v>434.05</v>
      </c>
    </row>
    <row r="28" spans="1:9" ht="13" x14ac:dyDescent="0.25">
      <c r="A28" s="9">
        <v>2011</v>
      </c>
      <c r="B28" s="5">
        <v>8</v>
      </c>
      <c r="C28" s="2" t="s">
        <v>26</v>
      </c>
      <c r="D28" s="2" t="s">
        <v>59</v>
      </c>
      <c r="E28" s="30">
        <v>737014.26</v>
      </c>
      <c r="F28" s="30">
        <v>682680.51</v>
      </c>
      <c r="G28" s="5">
        <v>1459</v>
      </c>
      <c r="H28" s="5">
        <v>418545</v>
      </c>
      <c r="I28" s="30">
        <v>505.15</v>
      </c>
    </row>
    <row r="29" spans="1:9" ht="13" x14ac:dyDescent="0.25">
      <c r="A29" s="9">
        <v>2011</v>
      </c>
      <c r="B29" s="5">
        <v>9</v>
      </c>
      <c r="C29" s="2" t="s">
        <v>28</v>
      </c>
      <c r="D29" s="2" t="s">
        <v>61</v>
      </c>
      <c r="E29" s="30">
        <v>1058590.17</v>
      </c>
      <c r="F29" s="30">
        <v>1019687.62</v>
      </c>
      <c r="G29" s="5">
        <v>1994</v>
      </c>
      <c r="H29" s="5">
        <v>557246</v>
      </c>
      <c r="I29" s="30">
        <v>530.89</v>
      </c>
    </row>
    <row r="30" spans="1:9" ht="13" x14ac:dyDescent="0.25">
      <c r="A30" s="9">
        <v>2011</v>
      </c>
      <c r="B30" s="5">
        <v>10</v>
      </c>
      <c r="C30" s="2" t="s">
        <v>30</v>
      </c>
      <c r="D30" s="2" t="s">
        <v>63</v>
      </c>
      <c r="E30" s="30">
        <v>1154979.3</v>
      </c>
      <c r="F30" s="30">
        <v>1070704.67</v>
      </c>
      <c r="G30" s="5">
        <v>2275</v>
      </c>
      <c r="H30" s="5">
        <v>595073</v>
      </c>
      <c r="I30" s="30">
        <v>507.68</v>
      </c>
    </row>
    <row r="31" spans="1:9" ht="13" x14ac:dyDescent="0.25">
      <c r="A31" s="9">
        <v>2011</v>
      </c>
      <c r="B31" s="5">
        <v>11</v>
      </c>
      <c r="C31" s="2" t="s">
        <v>33</v>
      </c>
      <c r="D31" s="2" t="s">
        <v>65</v>
      </c>
      <c r="E31" s="30">
        <v>1509496.33</v>
      </c>
      <c r="F31" s="30">
        <v>1461756.25</v>
      </c>
      <c r="G31" s="5">
        <v>3021</v>
      </c>
      <c r="H31" s="5">
        <v>752907</v>
      </c>
      <c r="I31" s="30">
        <v>499.67</v>
      </c>
    </row>
    <row r="32" spans="1:9" ht="13" x14ac:dyDescent="0.25">
      <c r="A32" s="9">
        <v>2011</v>
      </c>
      <c r="B32" s="5">
        <v>12</v>
      </c>
      <c r="C32" s="2" t="s">
        <v>9</v>
      </c>
      <c r="D32" s="2" t="s">
        <v>67</v>
      </c>
      <c r="E32" s="30">
        <v>638810.68000000005</v>
      </c>
      <c r="F32" s="30">
        <v>433686.01</v>
      </c>
      <c r="G32" s="5">
        <v>869</v>
      </c>
      <c r="H32" s="5">
        <v>309915</v>
      </c>
      <c r="I32" s="30">
        <v>735.11</v>
      </c>
    </row>
  </sheetData>
  <mergeCells count="5">
    <mergeCell ref="A1:I1"/>
    <mergeCell ref="A2:I2"/>
    <mergeCell ref="A3:I3"/>
    <mergeCell ref="A4:I4"/>
    <mergeCell ref="A5:I5"/>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B9BD5"/>
  </sheetPr>
  <dimension ref="A1:F17"/>
  <sheetViews>
    <sheetView showGridLines="0" workbookViewId="0">
      <pane ySplit="7" topLeftCell="A8" activePane="bottomLeft" state="frozen"/>
      <selection pane="bottomLeft" activeCell="C13" sqref="C13"/>
    </sheetView>
  </sheetViews>
  <sheetFormatPr defaultColWidth="12.6328125" defaultRowHeight="15.75" customHeight="1" x14ac:dyDescent="0.25"/>
  <cols>
    <col min="1" max="1" width="15.453125" customWidth="1"/>
    <col min="2" max="3" width="20" customWidth="1"/>
    <col min="4" max="4" width="13.6328125" customWidth="1"/>
    <col min="5" max="5" width="20" customWidth="1"/>
    <col min="6" max="6" width="18.1796875" customWidth="1"/>
  </cols>
  <sheetData>
    <row r="1" spans="1:6" ht="23.5" x14ac:dyDescent="0.25">
      <c r="A1" s="11" t="s">
        <v>129</v>
      </c>
      <c r="B1" s="11"/>
      <c r="C1" s="11"/>
      <c r="D1" s="11"/>
      <c r="E1" s="11"/>
      <c r="F1" s="11"/>
    </row>
    <row r="2" spans="1:6" ht="13" x14ac:dyDescent="0.25">
      <c r="A2" s="12" t="s">
        <v>220</v>
      </c>
      <c r="B2" s="12"/>
      <c r="C2" s="12"/>
      <c r="D2" s="12"/>
      <c r="E2" s="12"/>
      <c r="F2" s="12"/>
    </row>
    <row r="3" spans="1:6" ht="13" x14ac:dyDescent="0.25">
      <c r="A3" s="14" t="s">
        <v>221</v>
      </c>
      <c r="B3" s="14"/>
      <c r="C3" s="14"/>
      <c r="D3" s="14"/>
      <c r="E3" s="14"/>
      <c r="F3" s="14"/>
    </row>
    <row r="4" spans="1:6" ht="13" x14ac:dyDescent="0.25">
      <c r="A4" s="14" t="s">
        <v>222</v>
      </c>
      <c r="B4" s="14"/>
      <c r="C4" s="14"/>
      <c r="D4" s="14"/>
      <c r="E4" s="14"/>
      <c r="F4" s="14"/>
    </row>
    <row r="5" spans="1:6" ht="13" x14ac:dyDescent="0.25">
      <c r="A5" s="14" t="s">
        <v>223</v>
      </c>
      <c r="B5" s="14"/>
      <c r="C5" s="14"/>
      <c r="D5" s="14"/>
      <c r="E5" s="14"/>
      <c r="F5" s="14"/>
    </row>
    <row r="6" spans="1:6" ht="13" x14ac:dyDescent="0.25">
      <c r="A6" s="2"/>
      <c r="B6" s="2"/>
      <c r="C6" s="2"/>
      <c r="D6" s="2"/>
      <c r="E6" s="2"/>
      <c r="F6" s="2"/>
    </row>
    <row r="7" spans="1:6" s="1" customFormat="1" ht="13" x14ac:dyDescent="0.25">
      <c r="A7" s="3" t="s">
        <v>130</v>
      </c>
      <c r="B7" s="3" t="s">
        <v>131</v>
      </c>
      <c r="C7" s="3" t="s">
        <v>132</v>
      </c>
      <c r="D7" s="3" t="s">
        <v>126</v>
      </c>
      <c r="E7" s="3" t="s">
        <v>128</v>
      </c>
      <c r="F7" s="3" t="s">
        <v>476</v>
      </c>
    </row>
    <row r="8" spans="1:6" ht="13" x14ac:dyDescent="0.25">
      <c r="A8" s="5">
        <v>18102</v>
      </c>
      <c r="B8" s="2" t="s">
        <v>0</v>
      </c>
      <c r="C8" s="30">
        <v>608821.65</v>
      </c>
      <c r="D8" s="5">
        <v>145</v>
      </c>
      <c r="E8" s="30">
        <v>4198.7700000000004</v>
      </c>
      <c r="F8" s="32">
        <v>3.4300000000000004E-2</v>
      </c>
    </row>
    <row r="9" spans="1:6" ht="13" x14ac:dyDescent="0.25">
      <c r="A9" s="5">
        <v>14646</v>
      </c>
      <c r="B9" s="2" t="s">
        <v>0</v>
      </c>
      <c r="C9" s="30">
        <v>528602.52</v>
      </c>
      <c r="D9" s="5">
        <v>152</v>
      </c>
      <c r="E9" s="30">
        <v>3477.65</v>
      </c>
      <c r="F9" s="32">
        <v>2.98E-2</v>
      </c>
    </row>
    <row r="10" spans="1:6" ht="13" x14ac:dyDescent="0.25">
      <c r="A10" s="5">
        <v>14156</v>
      </c>
      <c r="B10" s="2" t="s">
        <v>0</v>
      </c>
      <c r="C10" s="30">
        <v>313946.37</v>
      </c>
      <c r="D10" s="5">
        <v>156</v>
      </c>
      <c r="E10" s="30">
        <v>2012.48</v>
      </c>
      <c r="F10" s="32">
        <v>1.77E-2</v>
      </c>
    </row>
    <row r="11" spans="1:6" ht="13" x14ac:dyDescent="0.25">
      <c r="A11" s="5">
        <v>14911</v>
      </c>
      <c r="B11" s="2" t="s">
        <v>0</v>
      </c>
      <c r="C11" s="30">
        <v>295972.63</v>
      </c>
      <c r="D11" s="5">
        <v>398</v>
      </c>
      <c r="E11" s="30">
        <v>743.65</v>
      </c>
      <c r="F11" s="32">
        <v>1.67E-2</v>
      </c>
    </row>
    <row r="12" spans="1:6" ht="13" x14ac:dyDescent="0.25">
      <c r="A12" s="5">
        <v>17450</v>
      </c>
      <c r="B12" s="2" t="s">
        <v>0</v>
      </c>
      <c r="C12" s="30">
        <v>246973.09</v>
      </c>
      <c r="D12" s="5">
        <v>51</v>
      </c>
      <c r="E12" s="30">
        <v>4842.6099999999997</v>
      </c>
      <c r="F12" s="32">
        <v>1.3899999999999999E-2</v>
      </c>
    </row>
    <row r="13" spans="1:6" ht="13" x14ac:dyDescent="0.25">
      <c r="A13" s="5">
        <v>13694</v>
      </c>
      <c r="B13" s="2" t="s">
        <v>0</v>
      </c>
      <c r="C13" s="30">
        <v>196482.81</v>
      </c>
      <c r="D13" s="5">
        <v>143</v>
      </c>
      <c r="E13" s="30">
        <v>1374.01</v>
      </c>
      <c r="F13" s="32">
        <v>1.11E-2</v>
      </c>
    </row>
    <row r="14" spans="1:6" ht="13" x14ac:dyDescent="0.25">
      <c r="A14" s="5">
        <v>17511</v>
      </c>
      <c r="B14" s="2" t="s">
        <v>0</v>
      </c>
      <c r="C14" s="30">
        <v>175603.55</v>
      </c>
      <c r="D14" s="5">
        <v>60</v>
      </c>
      <c r="E14" s="30">
        <v>2926.73</v>
      </c>
      <c r="F14" s="32">
        <v>9.8999999999999991E-3</v>
      </c>
    </row>
    <row r="15" spans="1:6" ht="13" x14ac:dyDescent="0.25">
      <c r="A15" s="5">
        <v>16446</v>
      </c>
      <c r="B15" s="2" t="s">
        <v>0</v>
      </c>
      <c r="C15" s="30">
        <v>168472.5</v>
      </c>
      <c r="D15" s="5">
        <v>2</v>
      </c>
      <c r="E15" s="30">
        <v>84236.25</v>
      </c>
      <c r="F15" s="32">
        <v>9.4999999999999998E-3</v>
      </c>
    </row>
    <row r="16" spans="1:6" ht="13" x14ac:dyDescent="0.25">
      <c r="A16" s="5">
        <v>16684</v>
      </c>
      <c r="B16" s="2" t="s">
        <v>0</v>
      </c>
      <c r="C16" s="30">
        <v>147142.76999999999</v>
      </c>
      <c r="D16" s="5">
        <v>55</v>
      </c>
      <c r="E16" s="30">
        <v>2675.32</v>
      </c>
      <c r="F16" s="32">
        <v>8.3000000000000001E-3</v>
      </c>
    </row>
    <row r="17" spans="1:6" ht="13" x14ac:dyDescent="0.25">
      <c r="A17" s="5">
        <v>12415</v>
      </c>
      <c r="B17" s="2" t="s">
        <v>0</v>
      </c>
      <c r="C17" s="30">
        <v>144458.37</v>
      </c>
      <c r="D17" s="5">
        <v>28</v>
      </c>
      <c r="E17" s="30">
        <v>5159.2299999999996</v>
      </c>
      <c r="F17" s="32">
        <v>8.1000000000000013E-3</v>
      </c>
    </row>
  </sheetData>
  <mergeCells count="5">
    <mergeCell ref="A1:F1"/>
    <mergeCell ref="A2:F2"/>
    <mergeCell ref="A3:F3"/>
    <mergeCell ref="A4:F4"/>
    <mergeCell ref="A5:F5"/>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B9BD5"/>
  </sheetPr>
  <dimension ref="A1:E16"/>
  <sheetViews>
    <sheetView showGridLines="0" workbookViewId="0">
      <pane ySplit="7" topLeftCell="A8" activePane="bottomLeft" state="frozen"/>
      <selection pane="bottomLeft" activeCell="C13" sqref="C13"/>
    </sheetView>
  </sheetViews>
  <sheetFormatPr defaultColWidth="12.6328125" defaultRowHeight="15.75" customHeight="1" x14ac:dyDescent="0.25"/>
  <cols>
    <col min="1" max="1" width="29.08984375" customWidth="1"/>
    <col min="2" max="2" width="20" customWidth="1"/>
    <col min="3" max="3" width="15.453125" customWidth="1"/>
    <col min="4" max="4" width="17.26953125" customWidth="1"/>
    <col min="5" max="5" width="18.1796875" customWidth="1"/>
  </cols>
  <sheetData>
    <row r="1" spans="1:5" ht="23.5" x14ac:dyDescent="0.25">
      <c r="A1" s="11" t="s">
        <v>164</v>
      </c>
      <c r="B1" s="11"/>
      <c r="C1" s="11"/>
      <c r="D1" s="11"/>
      <c r="E1" s="11"/>
    </row>
    <row r="2" spans="1:5" ht="13" x14ac:dyDescent="0.25">
      <c r="A2" s="12" t="s">
        <v>224</v>
      </c>
      <c r="B2" s="12"/>
      <c r="C2" s="12"/>
      <c r="D2" s="12"/>
      <c r="E2" s="12"/>
    </row>
    <row r="3" spans="1:5" ht="13" x14ac:dyDescent="0.25">
      <c r="A3" s="14" t="s">
        <v>225</v>
      </c>
      <c r="B3" s="14"/>
      <c r="C3" s="14"/>
      <c r="D3" s="14"/>
      <c r="E3" s="14"/>
    </row>
    <row r="4" spans="1:5" ht="13" x14ac:dyDescent="0.25">
      <c r="A4" s="14" t="s">
        <v>226</v>
      </c>
      <c r="B4" s="14"/>
      <c r="C4" s="14"/>
      <c r="D4" s="14"/>
      <c r="E4" s="14"/>
    </row>
    <row r="5" spans="1:5" ht="13" x14ac:dyDescent="0.25">
      <c r="A5" s="14" t="s">
        <v>227</v>
      </c>
      <c r="B5" s="14"/>
      <c r="C5" s="14"/>
      <c r="D5" s="14"/>
      <c r="E5" s="14"/>
    </row>
    <row r="6" spans="1:5" ht="13" x14ac:dyDescent="0.25">
      <c r="A6" s="2"/>
      <c r="B6" s="2"/>
      <c r="C6" s="2"/>
      <c r="D6" s="2"/>
      <c r="E6" s="2"/>
    </row>
    <row r="7" spans="1:5" s="1" customFormat="1" ht="13" x14ac:dyDescent="0.25">
      <c r="A7" s="3" t="s">
        <v>133</v>
      </c>
      <c r="B7" s="3" t="s">
        <v>132</v>
      </c>
      <c r="C7" s="3" t="s">
        <v>127</v>
      </c>
      <c r="D7" s="3" t="s">
        <v>134</v>
      </c>
      <c r="E7" s="3" t="s">
        <v>476</v>
      </c>
    </row>
    <row r="8" spans="1:5" ht="13" x14ac:dyDescent="0.25">
      <c r="A8" s="2" t="s">
        <v>1</v>
      </c>
      <c r="B8" s="30">
        <v>7931697.7300000004</v>
      </c>
      <c r="C8" s="5">
        <v>4284103</v>
      </c>
      <c r="D8" s="5">
        <v>2651</v>
      </c>
      <c r="E8" s="32">
        <v>0.39439999999999997</v>
      </c>
    </row>
    <row r="9" spans="1:5" ht="13" x14ac:dyDescent="0.25">
      <c r="A9" s="2" t="s">
        <v>2</v>
      </c>
      <c r="B9" s="30">
        <v>3025978.36</v>
      </c>
      <c r="C9" s="5">
        <v>1612318</v>
      </c>
      <c r="D9" s="5">
        <v>370</v>
      </c>
      <c r="E9" s="32">
        <v>0.15049999999999999</v>
      </c>
    </row>
    <row r="10" spans="1:5" ht="13" x14ac:dyDescent="0.25">
      <c r="A10" s="2" t="s">
        <v>3</v>
      </c>
      <c r="B10" s="30">
        <v>2493799.65</v>
      </c>
      <c r="C10" s="5">
        <v>918325</v>
      </c>
      <c r="D10" s="5">
        <v>523</v>
      </c>
      <c r="E10" s="32">
        <v>0.124</v>
      </c>
    </row>
    <row r="11" spans="1:5" ht="13" x14ac:dyDescent="0.25">
      <c r="A11" s="2" t="s">
        <v>4</v>
      </c>
      <c r="B11" s="30">
        <v>2457941.0499999998</v>
      </c>
      <c r="C11" s="5">
        <v>1374096</v>
      </c>
      <c r="D11" s="5">
        <v>370</v>
      </c>
      <c r="E11" s="32">
        <v>0.1222</v>
      </c>
    </row>
    <row r="12" spans="1:5" ht="13" x14ac:dyDescent="0.25">
      <c r="A12" s="2" t="s">
        <v>5</v>
      </c>
      <c r="B12" s="30">
        <v>1787182.56</v>
      </c>
      <c r="C12" s="5">
        <v>976527</v>
      </c>
      <c r="D12" s="5">
        <v>476</v>
      </c>
      <c r="E12" s="32">
        <v>8.8900000000000007E-2</v>
      </c>
    </row>
    <row r="13" spans="1:5" ht="13" x14ac:dyDescent="0.25">
      <c r="A13" s="2" t="s">
        <v>6</v>
      </c>
      <c r="B13" s="30">
        <v>1066462.3</v>
      </c>
      <c r="C13" s="5">
        <v>1012800</v>
      </c>
      <c r="D13" s="5">
        <v>282</v>
      </c>
      <c r="E13" s="32">
        <v>5.2999999999999999E-2</v>
      </c>
    </row>
    <row r="14" spans="1:5" ht="13" x14ac:dyDescent="0.25">
      <c r="A14" s="2" t="s">
        <v>7</v>
      </c>
      <c r="B14" s="30">
        <v>817319.41</v>
      </c>
      <c r="C14" s="5">
        <v>548709</v>
      </c>
      <c r="D14" s="5">
        <v>181</v>
      </c>
      <c r="E14" s="32">
        <v>4.0599999999999997E-2</v>
      </c>
    </row>
    <row r="15" spans="1:5" ht="13" x14ac:dyDescent="0.25">
      <c r="A15" s="2" t="s">
        <v>8</v>
      </c>
      <c r="B15" s="30">
        <v>279518.15000000002</v>
      </c>
      <c r="C15" s="5">
        <v>234676</v>
      </c>
      <c r="D15" s="5">
        <v>368</v>
      </c>
      <c r="E15" s="32">
        <v>1.3899999999999999E-2</v>
      </c>
    </row>
    <row r="16" spans="1:5" ht="13" x14ac:dyDescent="0.25">
      <c r="A16" s="2" t="s">
        <v>11</v>
      </c>
      <c r="B16" s="30">
        <v>251490.98</v>
      </c>
      <c r="C16" s="5">
        <v>113234</v>
      </c>
      <c r="D16" s="5">
        <v>58</v>
      </c>
      <c r="E16" s="32">
        <v>1.2500000000000001E-2</v>
      </c>
    </row>
  </sheetData>
  <mergeCells count="5">
    <mergeCell ref="A1:E1"/>
    <mergeCell ref="A2:E2"/>
    <mergeCell ref="A3:E3"/>
    <mergeCell ref="A4:E4"/>
    <mergeCell ref="A5:E5"/>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B9BD5"/>
  </sheetPr>
  <dimension ref="A1:F51"/>
  <sheetViews>
    <sheetView showGridLines="0" workbookViewId="0">
      <pane ySplit="7" topLeftCell="A8" activePane="bottomLeft" state="frozen"/>
      <selection pane="bottomLeft" activeCell="C13" sqref="C13"/>
    </sheetView>
  </sheetViews>
  <sheetFormatPr defaultColWidth="12.6328125" defaultRowHeight="15.75" customHeight="1" x14ac:dyDescent="0.25"/>
  <cols>
    <col min="1" max="1" width="24.54296875" customWidth="1"/>
    <col min="2" max="2" width="20" customWidth="1"/>
    <col min="3" max="3" width="18.1796875" customWidth="1"/>
    <col min="4" max="4" width="14.54296875" customWidth="1"/>
    <col min="5" max="5" width="20.90625" customWidth="1"/>
    <col min="6" max="6" width="23.6328125" customWidth="1"/>
  </cols>
  <sheetData>
    <row r="1" spans="1:6" ht="23.5" x14ac:dyDescent="0.25">
      <c r="A1" s="11" t="s">
        <v>135</v>
      </c>
      <c r="B1" s="11"/>
      <c r="C1" s="11"/>
      <c r="D1" s="11"/>
      <c r="E1" s="11"/>
      <c r="F1" s="11"/>
    </row>
    <row r="2" spans="1:6" ht="13" x14ac:dyDescent="0.25">
      <c r="A2" s="12" t="s">
        <v>228</v>
      </c>
      <c r="B2" s="12"/>
      <c r="C2" s="12"/>
      <c r="D2" s="12"/>
      <c r="E2" s="12"/>
      <c r="F2" s="12"/>
    </row>
    <row r="3" spans="1:6" ht="13" x14ac:dyDescent="0.25">
      <c r="A3" s="14" t="s">
        <v>229</v>
      </c>
      <c r="B3" s="14"/>
      <c r="C3" s="14"/>
      <c r="D3" s="14"/>
      <c r="E3" s="14"/>
      <c r="F3" s="14"/>
    </row>
    <row r="4" spans="1:6" ht="13" x14ac:dyDescent="0.25">
      <c r="A4" s="14" t="s">
        <v>230</v>
      </c>
      <c r="B4" s="14"/>
      <c r="C4" s="14"/>
      <c r="D4" s="14"/>
      <c r="E4" s="14"/>
      <c r="F4" s="14"/>
    </row>
    <row r="5" spans="1:6" ht="13" x14ac:dyDescent="0.25">
      <c r="A5" s="14" t="s">
        <v>231</v>
      </c>
      <c r="B5" s="14"/>
      <c r="C5" s="14"/>
      <c r="D5" s="14"/>
      <c r="E5" s="14"/>
      <c r="F5" s="14"/>
    </row>
    <row r="6" spans="1:6" ht="13" x14ac:dyDescent="0.25">
      <c r="A6" s="2"/>
      <c r="B6" s="2"/>
      <c r="C6" s="2"/>
      <c r="D6" s="2"/>
      <c r="E6" s="2"/>
      <c r="F6" s="2"/>
    </row>
    <row r="7" spans="1:6" s="1" customFormat="1" ht="13" x14ac:dyDescent="0.25">
      <c r="A7" s="3" t="s">
        <v>136</v>
      </c>
      <c r="B7" s="3" t="s">
        <v>137</v>
      </c>
      <c r="C7" s="3" t="s">
        <v>138</v>
      </c>
      <c r="D7" s="3" t="s">
        <v>139</v>
      </c>
      <c r="E7" s="3" t="s">
        <v>132</v>
      </c>
      <c r="F7" s="3" t="s">
        <v>140</v>
      </c>
    </row>
    <row r="8" spans="1:6" ht="13" x14ac:dyDescent="0.25">
      <c r="A8" s="10" t="s">
        <v>32</v>
      </c>
      <c r="B8" s="2" t="s">
        <v>32</v>
      </c>
      <c r="C8" s="5">
        <v>5353</v>
      </c>
      <c r="D8" s="5">
        <v>33546</v>
      </c>
      <c r="E8" s="30">
        <v>14723147.52</v>
      </c>
      <c r="F8" s="30">
        <v>2750.45</v>
      </c>
    </row>
    <row r="9" spans="1:6" ht="13" x14ac:dyDescent="0.25">
      <c r="A9" s="10" t="s">
        <v>35</v>
      </c>
      <c r="B9" s="2" t="s">
        <v>36</v>
      </c>
      <c r="C9" s="5">
        <v>5</v>
      </c>
      <c r="D9" s="5">
        <v>567</v>
      </c>
      <c r="E9" s="30">
        <v>621631.11</v>
      </c>
      <c r="F9" s="30">
        <v>124326.22</v>
      </c>
    </row>
    <row r="10" spans="1:6" ht="13" x14ac:dyDescent="0.25">
      <c r="A10" s="10" t="s">
        <v>38</v>
      </c>
      <c r="B10" s="2" t="s">
        <v>36</v>
      </c>
      <c r="C10" s="5">
        <v>22</v>
      </c>
      <c r="D10" s="5">
        <v>229</v>
      </c>
      <c r="E10" s="30">
        <v>554232.34</v>
      </c>
      <c r="F10" s="30">
        <v>25192.38</v>
      </c>
    </row>
    <row r="11" spans="1:6" ht="13" x14ac:dyDescent="0.25">
      <c r="A11" s="10" t="s">
        <v>40</v>
      </c>
      <c r="B11" s="2" t="s">
        <v>36</v>
      </c>
      <c r="C11" s="5">
        <v>107</v>
      </c>
      <c r="D11" s="5">
        <v>789</v>
      </c>
      <c r="E11" s="30">
        <v>431262.46</v>
      </c>
      <c r="F11" s="30">
        <v>4030.49</v>
      </c>
    </row>
    <row r="12" spans="1:6" ht="13" x14ac:dyDescent="0.25">
      <c r="A12" s="10" t="s">
        <v>42</v>
      </c>
      <c r="B12" s="2" t="s">
        <v>36</v>
      </c>
      <c r="C12" s="5">
        <v>95</v>
      </c>
      <c r="D12" s="5">
        <v>614</v>
      </c>
      <c r="E12" s="30">
        <v>355257.47</v>
      </c>
      <c r="F12" s="30">
        <v>3739.55</v>
      </c>
    </row>
    <row r="13" spans="1:6" ht="13" x14ac:dyDescent="0.25">
      <c r="A13" s="10" t="s">
        <v>44</v>
      </c>
      <c r="B13" s="2" t="s">
        <v>45</v>
      </c>
      <c r="C13" s="5">
        <v>15</v>
      </c>
      <c r="D13" s="5">
        <v>95</v>
      </c>
      <c r="E13" s="30">
        <v>169968.11</v>
      </c>
      <c r="F13" s="30">
        <v>11331.21</v>
      </c>
    </row>
    <row r="14" spans="1:6" ht="13" x14ac:dyDescent="0.25">
      <c r="A14" s="10" t="s">
        <v>47</v>
      </c>
      <c r="B14" s="2" t="s">
        <v>36</v>
      </c>
      <c r="C14" s="5">
        <v>41</v>
      </c>
      <c r="D14" s="5">
        <v>154</v>
      </c>
      <c r="E14" s="30">
        <v>109178.53</v>
      </c>
      <c r="F14" s="30">
        <v>2662.89</v>
      </c>
    </row>
    <row r="15" spans="1:6" ht="13" x14ac:dyDescent="0.25">
      <c r="A15" s="10" t="s">
        <v>50</v>
      </c>
      <c r="B15" s="2" t="s">
        <v>49</v>
      </c>
      <c r="C15" s="5">
        <v>22</v>
      </c>
      <c r="D15" s="5">
        <v>90</v>
      </c>
      <c r="E15" s="30">
        <v>100365.34</v>
      </c>
      <c r="F15" s="30">
        <v>4562.0600000000004</v>
      </c>
    </row>
    <row r="16" spans="1:6" ht="13" x14ac:dyDescent="0.25">
      <c r="A16" s="10" t="s">
        <v>52</v>
      </c>
      <c r="B16" s="2" t="s">
        <v>49</v>
      </c>
      <c r="C16" s="5">
        <v>19</v>
      </c>
      <c r="D16" s="5">
        <v>104</v>
      </c>
      <c r="E16" s="30">
        <v>91549.72</v>
      </c>
      <c r="F16" s="30">
        <v>4818.41</v>
      </c>
    </row>
    <row r="17" spans="1:6" ht="13" x14ac:dyDescent="0.25">
      <c r="A17" s="10" t="s">
        <v>54</v>
      </c>
      <c r="B17" s="2" t="s">
        <v>49</v>
      </c>
      <c r="C17" s="5">
        <v>12</v>
      </c>
      <c r="D17" s="5">
        <v>43</v>
      </c>
      <c r="E17" s="30">
        <v>69862.19</v>
      </c>
      <c r="F17" s="30">
        <v>5821.85</v>
      </c>
    </row>
    <row r="18" spans="1:6" ht="13" x14ac:dyDescent="0.25">
      <c r="A18" s="10" t="s">
        <v>56</v>
      </c>
      <c r="B18" s="2" t="s">
        <v>36</v>
      </c>
      <c r="C18" s="5">
        <v>29</v>
      </c>
      <c r="D18" s="5">
        <v>149</v>
      </c>
      <c r="E18" s="30">
        <v>65753.42</v>
      </c>
      <c r="F18" s="30">
        <v>2267.36</v>
      </c>
    </row>
    <row r="19" spans="1:6" ht="13" x14ac:dyDescent="0.25">
      <c r="A19" s="10" t="s">
        <v>48</v>
      </c>
      <c r="B19" s="2" t="s">
        <v>49</v>
      </c>
      <c r="C19" s="5">
        <v>13</v>
      </c>
      <c r="D19" s="5">
        <v>45</v>
      </c>
      <c r="E19" s="30">
        <v>60109.62</v>
      </c>
      <c r="F19" s="30">
        <v>4623.82</v>
      </c>
    </row>
    <row r="20" spans="1:6" ht="13" x14ac:dyDescent="0.25">
      <c r="A20" s="10" t="s">
        <v>60</v>
      </c>
      <c r="B20" s="2" t="s">
        <v>36</v>
      </c>
      <c r="C20" s="5">
        <v>24</v>
      </c>
      <c r="D20" s="5">
        <v>93</v>
      </c>
      <c r="E20" s="30">
        <v>57285.3</v>
      </c>
      <c r="F20" s="30">
        <v>2386.89</v>
      </c>
    </row>
    <row r="21" spans="1:6" ht="13" x14ac:dyDescent="0.25">
      <c r="A21" s="10" t="s">
        <v>62</v>
      </c>
      <c r="B21" s="2" t="s">
        <v>45</v>
      </c>
      <c r="C21" s="5">
        <v>10</v>
      </c>
      <c r="D21" s="5">
        <v>33</v>
      </c>
      <c r="E21" s="30">
        <v>47138.39</v>
      </c>
      <c r="F21" s="30">
        <v>4713.84</v>
      </c>
    </row>
    <row r="22" spans="1:6" ht="13" x14ac:dyDescent="0.25">
      <c r="A22" s="10" t="s">
        <v>64</v>
      </c>
      <c r="B22" s="2" t="s">
        <v>49</v>
      </c>
      <c r="C22" s="5">
        <v>13</v>
      </c>
      <c r="D22" s="5">
        <v>55</v>
      </c>
      <c r="E22" s="30">
        <v>44996.76</v>
      </c>
      <c r="F22" s="30">
        <v>3461.29</v>
      </c>
    </row>
    <row r="23" spans="1:6" ht="13" x14ac:dyDescent="0.25">
      <c r="A23" s="10" t="s">
        <v>66</v>
      </c>
      <c r="B23" s="2" t="s">
        <v>36</v>
      </c>
      <c r="C23" s="5">
        <v>17</v>
      </c>
      <c r="D23" s="5">
        <v>65</v>
      </c>
      <c r="E23" s="30">
        <v>32550.42</v>
      </c>
      <c r="F23" s="30">
        <v>1914.73</v>
      </c>
    </row>
    <row r="24" spans="1:6" ht="13" x14ac:dyDescent="0.25">
      <c r="A24" s="10" t="s">
        <v>68</v>
      </c>
      <c r="B24" s="2" t="s">
        <v>36</v>
      </c>
      <c r="C24" s="5">
        <v>14</v>
      </c>
      <c r="D24" s="5">
        <v>57</v>
      </c>
      <c r="E24" s="30">
        <v>29925.54</v>
      </c>
      <c r="F24" s="30">
        <v>2137.54</v>
      </c>
    </row>
    <row r="25" spans="1:6" ht="13" x14ac:dyDescent="0.25">
      <c r="A25" s="10" t="s">
        <v>55</v>
      </c>
      <c r="B25" s="2" t="s">
        <v>45</v>
      </c>
      <c r="C25" s="5">
        <v>1</v>
      </c>
      <c r="D25" s="5">
        <v>11</v>
      </c>
      <c r="E25" s="30">
        <v>25317.06</v>
      </c>
      <c r="F25" s="30">
        <v>25317.06</v>
      </c>
    </row>
    <row r="26" spans="1:6" ht="13" x14ac:dyDescent="0.25">
      <c r="A26" s="10" t="s">
        <v>70</v>
      </c>
      <c r="B26" s="2" t="s">
        <v>36</v>
      </c>
      <c r="C26" s="5">
        <v>11</v>
      </c>
      <c r="D26" s="5">
        <v>37</v>
      </c>
      <c r="E26" s="30">
        <v>24980.13</v>
      </c>
      <c r="F26" s="30">
        <v>2270.92</v>
      </c>
    </row>
    <row r="27" spans="1:6" ht="13" x14ac:dyDescent="0.25">
      <c r="A27" s="10" t="s">
        <v>71</v>
      </c>
      <c r="B27" s="2" t="s">
        <v>36</v>
      </c>
      <c r="C27" s="5">
        <v>13</v>
      </c>
      <c r="D27" s="5">
        <v>45</v>
      </c>
      <c r="E27" s="30">
        <v>23613.01</v>
      </c>
      <c r="F27" s="30">
        <v>1816.39</v>
      </c>
    </row>
    <row r="28" spans="1:6" ht="13" x14ac:dyDescent="0.25">
      <c r="A28" s="10" t="s">
        <v>73</v>
      </c>
      <c r="B28" s="2" t="s">
        <v>36</v>
      </c>
      <c r="C28" s="5">
        <v>5</v>
      </c>
      <c r="D28" s="5">
        <v>18</v>
      </c>
      <c r="E28" s="30">
        <v>19096.189999999999</v>
      </c>
      <c r="F28" s="30">
        <v>3819.24</v>
      </c>
    </row>
    <row r="29" spans="1:6" ht="13" x14ac:dyDescent="0.25">
      <c r="A29" s="10" t="s">
        <v>74</v>
      </c>
      <c r="B29" s="2" t="s">
        <v>49</v>
      </c>
      <c r="C29" s="5">
        <v>6</v>
      </c>
      <c r="D29" s="5">
        <v>28</v>
      </c>
      <c r="E29" s="30">
        <v>10902.45</v>
      </c>
      <c r="F29" s="30">
        <v>1817.08</v>
      </c>
    </row>
    <row r="30" spans="1:6" ht="13" x14ac:dyDescent="0.25">
      <c r="A30" s="10" t="s">
        <v>76</v>
      </c>
      <c r="B30" s="2" t="s">
        <v>45</v>
      </c>
      <c r="C30" s="5">
        <v>4</v>
      </c>
      <c r="D30" s="5">
        <v>7</v>
      </c>
      <c r="E30" s="30">
        <v>10421.09</v>
      </c>
      <c r="F30" s="30">
        <v>2605.27</v>
      </c>
    </row>
    <row r="31" spans="1:6" ht="13" x14ac:dyDescent="0.25">
      <c r="A31" s="10" t="s">
        <v>77</v>
      </c>
      <c r="B31" s="2" t="s">
        <v>45</v>
      </c>
      <c r="C31" s="5">
        <v>4</v>
      </c>
      <c r="D31" s="5">
        <v>11</v>
      </c>
      <c r="E31" s="30">
        <v>9202.69</v>
      </c>
      <c r="F31" s="30">
        <v>2300.67</v>
      </c>
    </row>
    <row r="32" spans="1:6" ht="13" x14ac:dyDescent="0.25">
      <c r="A32" s="10" t="s">
        <v>78</v>
      </c>
      <c r="B32" s="2" t="s">
        <v>79</v>
      </c>
      <c r="C32" s="5">
        <v>6</v>
      </c>
      <c r="D32" s="5">
        <v>16</v>
      </c>
      <c r="E32" s="30">
        <v>8613.65</v>
      </c>
      <c r="F32" s="30">
        <v>1435.61</v>
      </c>
    </row>
    <row r="33" spans="1:6" ht="13" x14ac:dyDescent="0.25">
      <c r="A33" s="10" t="s">
        <v>72</v>
      </c>
      <c r="B33" s="2" t="s">
        <v>45</v>
      </c>
      <c r="C33" s="5">
        <v>9</v>
      </c>
      <c r="D33" s="5">
        <v>20</v>
      </c>
      <c r="E33" s="30">
        <v>8366.86</v>
      </c>
      <c r="F33" s="30">
        <v>929.65</v>
      </c>
    </row>
    <row r="34" spans="1:6" ht="13" x14ac:dyDescent="0.25">
      <c r="A34" s="10" t="s">
        <v>69</v>
      </c>
      <c r="B34" s="2" t="s">
        <v>36</v>
      </c>
      <c r="C34" s="5">
        <v>2</v>
      </c>
      <c r="D34" s="5">
        <v>9</v>
      </c>
      <c r="E34" s="30">
        <v>8099.09</v>
      </c>
      <c r="F34" s="30">
        <v>4049.55</v>
      </c>
    </row>
    <row r="35" spans="1:6" ht="13" x14ac:dyDescent="0.25">
      <c r="A35" s="10" t="s">
        <v>80</v>
      </c>
      <c r="B35" s="2" t="s">
        <v>49</v>
      </c>
      <c r="C35" s="5">
        <v>1</v>
      </c>
      <c r="D35" s="5">
        <v>6</v>
      </c>
      <c r="E35" s="30">
        <v>6553.74</v>
      </c>
      <c r="F35" s="30">
        <v>6553.74</v>
      </c>
    </row>
    <row r="36" spans="1:6" ht="13" x14ac:dyDescent="0.25">
      <c r="A36" s="10" t="s">
        <v>81</v>
      </c>
      <c r="B36" s="2" t="s">
        <v>49</v>
      </c>
      <c r="C36" s="5">
        <v>1</v>
      </c>
      <c r="D36" s="5">
        <v>8</v>
      </c>
      <c r="E36" s="30">
        <v>5633.32</v>
      </c>
      <c r="F36" s="30">
        <v>5633.32</v>
      </c>
    </row>
    <row r="37" spans="1:6" ht="13" x14ac:dyDescent="0.25">
      <c r="A37" s="10" t="s">
        <v>82</v>
      </c>
      <c r="B37" s="2" t="s">
        <v>45</v>
      </c>
      <c r="C37" s="5">
        <v>5</v>
      </c>
      <c r="D37" s="5">
        <v>8</v>
      </c>
      <c r="E37" s="30">
        <v>4883.04</v>
      </c>
      <c r="F37" s="30">
        <v>976.61</v>
      </c>
    </row>
    <row r="38" spans="1:6" ht="13" x14ac:dyDescent="0.25">
      <c r="A38" s="10" t="s">
        <v>84</v>
      </c>
      <c r="B38" s="2" t="s">
        <v>45</v>
      </c>
      <c r="C38" s="5">
        <v>1</v>
      </c>
      <c r="D38" s="5">
        <v>2</v>
      </c>
      <c r="E38" s="30">
        <v>3070.54</v>
      </c>
      <c r="F38" s="30">
        <v>3070.54</v>
      </c>
    </row>
    <row r="39" spans="1:6" ht="13" x14ac:dyDescent="0.25">
      <c r="A39" s="10" t="s">
        <v>75</v>
      </c>
      <c r="B39" s="2" t="s">
        <v>45</v>
      </c>
      <c r="C39" s="5">
        <v>2</v>
      </c>
      <c r="D39" s="5">
        <v>2</v>
      </c>
      <c r="E39" s="30">
        <v>1933.74</v>
      </c>
      <c r="F39" s="30">
        <v>966.87</v>
      </c>
    </row>
    <row r="40" spans="1:6" ht="13" x14ac:dyDescent="0.25">
      <c r="A40" s="10" t="s">
        <v>85</v>
      </c>
      <c r="B40" s="2" t="s">
        <v>45</v>
      </c>
      <c r="C40" s="5">
        <v>1</v>
      </c>
      <c r="D40" s="5">
        <v>1</v>
      </c>
      <c r="E40" s="30">
        <v>1693.88</v>
      </c>
      <c r="F40" s="30">
        <v>1693.88</v>
      </c>
    </row>
    <row r="41" spans="1:6" ht="13" x14ac:dyDescent="0.25">
      <c r="A41" s="10" t="s">
        <v>87</v>
      </c>
      <c r="B41" s="2" t="s">
        <v>45</v>
      </c>
      <c r="C41" s="5">
        <v>2</v>
      </c>
      <c r="D41" s="5">
        <v>2</v>
      </c>
      <c r="E41" s="30">
        <v>1411.87</v>
      </c>
      <c r="F41" s="30">
        <v>705.94</v>
      </c>
    </row>
    <row r="42" spans="1:6" ht="13" x14ac:dyDescent="0.25">
      <c r="A42" s="10" t="s">
        <v>83</v>
      </c>
      <c r="B42" s="2" t="s">
        <v>45</v>
      </c>
      <c r="C42" s="5">
        <v>2</v>
      </c>
      <c r="D42" s="5">
        <v>4</v>
      </c>
      <c r="E42" s="30">
        <v>1354.37</v>
      </c>
      <c r="F42" s="30">
        <v>677.19</v>
      </c>
    </row>
    <row r="43" spans="1:6" ht="13" x14ac:dyDescent="0.25">
      <c r="A43" s="10" t="s">
        <v>90</v>
      </c>
      <c r="B43" s="2" t="s">
        <v>49</v>
      </c>
      <c r="C43" s="5">
        <v>1</v>
      </c>
      <c r="D43" s="5">
        <v>4</v>
      </c>
      <c r="E43" s="30">
        <v>1300.25</v>
      </c>
      <c r="F43" s="30">
        <v>1300.25</v>
      </c>
    </row>
    <row r="44" spans="1:6" ht="13" x14ac:dyDescent="0.25">
      <c r="A44" s="10" t="s">
        <v>86</v>
      </c>
      <c r="B44" s="2" t="s">
        <v>45</v>
      </c>
      <c r="C44" s="5">
        <v>2</v>
      </c>
      <c r="D44" s="5">
        <v>2</v>
      </c>
      <c r="E44" s="30">
        <v>1118.51</v>
      </c>
      <c r="F44" s="30">
        <v>559.26</v>
      </c>
    </row>
    <row r="45" spans="1:6" ht="13" x14ac:dyDescent="0.25">
      <c r="A45" s="10" t="s">
        <v>89</v>
      </c>
      <c r="B45" s="2" t="s">
        <v>49</v>
      </c>
      <c r="C45" s="5">
        <v>1</v>
      </c>
      <c r="D45" s="5">
        <v>2</v>
      </c>
      <c r="E45" s="30">
        <v>826.74</v>
      </c>
      <c r="F45" s="30">
        <v>826.74</v>
      </c>
    </row>
    <row r="46" spans="1:6" ht="13" x14ac:dyDescent="0.25">
      <c r="A46" s="10" t="s">
        <v>92</v>
      </c>
      <c r="B46" s="2" t="s">
        <v>45</v>
      </c>
      <c r="C46" s="5">
        <v>1</v>
      </c>
      <c r="D46" s="5">
        <v>1</v>
      </c>
      <c r="E46" s="30">
        <v>536.41</v>
      </c>
      <c r="F46" s="30">
        <v>536.41</v>
      </c>
    </row>
    <row r="47" spans="1:6" ht="13" x14ac:dyDescent="0.25">
      <c r="A47" s="10" t="s">
        <v>91</v>
      </c>
      <c r="B47" s="2" t="s">
        <v>45</v>
      </c>
      <c r="C47" s="5">
        <v>1</v>
      </c>
      <c r="D47" s="5">
        <v>1</v>
      </c>
      <c r="E47" s="30">
        <v>145.91999999999999</v>
      </c>
      <c r="F47" s="30">
        <v>145.91999999999999</v>
      </c>
    </row>
    <row r="48" spans="1:6" ht="13" x14ac:dyDescent="0.25">
      <c r="A48" s="10" t="s">
        <v>88</v>
      </c>
      <c r="B48" s="2" t="s">
        <v>45</v>
      </c>
      <c r="C48" s="5">
        <v>1</v>
      </c>
      <c r="D48" s="5">
        <v>2</v>
      </c>
      <c r="E48" s="30">
        <v>140.38999999999999</v>
      </c>
      <c r="F48" s="30">
        <v>140.38999999999999</v>
      </c>
    </row>
    <row r="49" spans="1:6" ht="12.5" x14ac:dyDescent="0.25"/>
    <row r="50" spans="1:6" ht="12.5" x14ac:dyDescent="0.25">
      <c r="A50" s="17" t="s">
        <v>477</v>
      </c>
      <c r="B50" s="17"/>
      <c r="C50" s="17"/>
      <c r="D50" s="17"/>
      <c r="E50" s="17"/>
      <c r="F50" s="17"/>
    </row>
    <row r="51" spans="1:6" ht="12.5" x14ac:dyDescent="0.25">
      <c r="A51" s="17"/>
      <c r="B51" s="17"/>
      <c r="C51" s="17"/>
      <c r="D51" s="17"/>
      <c r="E51" s="17"/>
      <c r="F51" s="17"/>
    </row>
  </sheetData>
  <mergeCells count="6">
    <mergeCell ref="A50:F51"/>
    <mergeCell ref="A1:F1"/>
    <mergeCell ref="A2:F2"/>
    <mergeCell ref="A3:F3"/>
    <mergeCell ref="A4:F4"/>
    <mergeCell ref="A5:F5"/>
  </mergeCell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B9BD5"/>
  </sheetPr>
  <dimension ref="A1:E53"/>
  <sheetViews>
    <sheetView showGridLines="0" workbookViewId="0">
      <pane ySplit="7" topLeftCell="A8" activePane="bottomLeft" state="frozen"/>
      <selection pane="bottomLeft" activeCell="C13" sqref="C13"/>
    </sheetView>
  </sheetViews>
  <sheetFormatPr defaultColWidth="12.6328125" defaultRowHeight="15.75" customHeight="1" x14ac:dyDescent="0.25"/>
  <cols>
    <col min="1" max="1" width="24.54296875" customWidth="1"/>
    <col min="2" max="2" width="20" customWidth="1"/>
    <col min="3" max="3" width="20.90625" customWidth="1"/>
    <col min="4" max="4" width="22.7265625" customWidth="1"/>
    <col min="5" max="5" width="20" customWidth="1"/>
  </cols>
  <sheetData>
    <row r="1" spans="1:5" ht="23.5" x14ac:dyDescent="0.25">
      <c r="A1" s="11" t="s">
        <v>141</v>
      </c>
      <c r="B1" s="11"/>
      <c r="C1" s="11"/>
      <c r="D1" s="11"/>
      <c r="E1" s="11"/>
    </row>
    <row r="2" spans="1:5" ht="13" x14ac:dyDescent="0.25">
      <c r="A2" s="12" t="s">
        <v>232</v>
      </c>
      <c r="B2" s="12"/>
      <c r="C2" s="12"/>
      <c r="D2" s="12"/>
      <c r="E2" s="12"/>
    </row>
    <row r="3" spans="1:5" ht="13" x14ac:dyDescent="0.25">
      <c r="A3" s="14" t="s">
        <v>233</v>
      </c>
      <c r="B3" s="14"/>
      <c r="C3" s="14"/>
      <c r="D3" s="14"/>
      <c r="E3" s="14"/>
    </row>
    <row r="4" spans="1:5" ht="13" x14ac:dyDescent="0.25">
      <c r="A4" s="14" t="s">
        <v>234</v>
      </c>
      <c r="B4" s="14"/>
      <c r="C4" s="14"/>
      <c r="D4" s="14"/>
      <c r="E4" s="14"/>
    </row>
    <row r="5" spans="1:5" ht="13" x14ac:dyDescent="0.25">
      <c r="A5" s="14" t="s">
        <v>235</v>
      </c>
      <c r="B5" s="14"/>
      <c r="C5" s="14"/>
      <c r="D5" s="14"/>
      <c r="E5" s="14"/>
    </row>
    <row r="6" spans="1:5" ht="13" x14ac:dyDescent="0.25">
      <c r="A6" s="2"/>
      <c r="B6" s="2"/>
      <c r="C6" s="2"/>
      <c r="D6" s="2"/>
      <c r="E6" s="2"/>
    </row>
    <row r="7" spans="1:5" s="1" customFormat="1" ht="13" x14ac:dyDescent="0.25">
      <c r="A7" s="3" t="s">
        <v>136</v>
      </c>
      <c r="B7" s="3" t="s">
        <v>137</v>
      </c>
      <c r="C7" s="3" t="s">
        <v>142</v>
      </c>
      <c r="D7" s="3" t="s">
        <v>143</v>
      </c>
      <c r="E7" s="3" t="s">
        <v>144</v>
      </c>
    </row>
    <row r="8" spans="1:5" ht="13" x14ac:dyDescent="0.25">
      <c r="A8" s="10" t="s">
        <v>32</v>
      </c>
      <c r="B8" s="2" t="s">
        <v>32</v>
      </c>
      <c r="C8" s="30">
        <v>1329717.74</v>
      </c>
      <c r="D8" s="30">
        <v>17712301.640000001</v>
      </c>
      <c r="E8" s="32">
        <v>7.51E-2</v>
      </c>
    </row>
    <row r="9" spans="1:5" ht="13" x14ac:dyDescent="0.25">
      <c r="A9" s="10" t="s">
        <v>35</v>
      </c>
      <c r="B9" s="2" t="s">
        <v>36</v>
      </c>
      <c r="C9" s="30">
        <v>48912.23</v>
      </c>
      <c r="D9" s="30">
        <v>664431.78</v>
      </c>
      <c r="E9" s="32">
        <v>7.3599999999999999E-2</v>
      </c>
    </row>
    <row r="10" spans="1:5" ht="13" x14ac:dyDescent="0.25">
      <c r="A10" s="10" t="s">
        <v>42</v>
      </c>
      <c r="B10" s="2" t="s">
        <v>36</v>
      </c>
      <c r="C10" s="30">
        <v>28752.799999999999</v>
      </c>
      <c r="D10" s="30">
        <v>356944.6</v>
      </c>
      <c r="E10" s="32">
        <v>8.0600000000000005E-2</v>
      </c>
    </row>
    <row r="11" spans="1:5" ht="13" x14ac:dyDescent="0.25">
      <c r="A11" s="10" t="s">
        <v>48</v>
      </c>
      <c r="B11" s="2" t="s">
        <v>49</v>
      </c>
      <c r="C11" s="30">
        <v>20866.59</v>
      </c>
      <c r="D11" s="30">
        <v>60109.62</v>
      </c>
      <c r="E11" s="32">
        <v>0.34710000000000002</v>
      </c>
    </row>
    <row r="12" spans="1:5" ht="13" x14ac:dyDescent="0.25">
      <c r="A12" s="10" t="s">
        <v>47</v>
      </c>
      <c r="B12" s="2" t="s">
        <v>36</v>
      </c>
      <c r="C12" s="30">
        <v>17319.05</v>
      </c>
      <c r="D12" s="30">
        <v>109178.53</v>
      </c>
      <c r="E12" s="32">
        <v>0.15859999999999999</v>
      </c>
    </row>
    <row r="13" spans="1:5" ht="13" x14ac:dyDescent="0.25">
      <c r="A13" s="10" t="s">
        <v>40</v>
      </c>
      <c r="B13" s="2" t="s">
        <v>36</v>
      </c>
      <c r="C13" s="30">
        <v>13273.9</v>
      </c>
      <c r="D13" s="30">
        <v>431262.46</v>
      </c>
      <c r="E13" s="32">
        <v>3.0800000000000001E-2</v>
      </c>
    </row>
    <row r="14" spans="1:5" ht="13" x14ac:dyDescent="0.25">
      <c r="A14" s="10" t="s">
        <v>55</v>
      </c>
      <c r="B14" s="2" t="s">
        <v>45</v>
      </c>
      <c r="C14" s="30">
        <v>12158.9</v>
      </c>
      <c r="D14" s="30">
        <v>25317.06</v>
      </c>
      <c r="E14" s="32">
        <v>0.4803</v>
      </c>
    </row>
    <row r="15" spans="1:5" ht="13" x14ac:dyDescent="0.25">
      <c r="A15" s="10" t="s">
        <v>58</v>
      </c>
      <c r="B15" s="2" t="s">
        <v>45</v>
      </c>
      <c r="C15" s="30">
        <v>9855.02</v>
      </c>
      <c r="D15" s="30">
        <v>23894.32</v>
      </c>
      <c r="E15" s="32">
        <v>0.41239999999999999</v>
      </c>
    </row>
    <row r="16" spans="1:5" ht="13" x14ac:dyDescent="0.25">
      <c r="A16" s="10" t="s">
        <v>38</v>
      </c>
      <c r="B16" s="2" t="s">
        <v>36</v>
      </c>
      <c r="C16" s="30">
        <v>5707.39</v>
      </c>
      <c r="D16" s="30">
        <v>554232.34</v>
      </c>
      <c r="E16" s="32">
        <v>1.03E-2</v>
      </c>
    </row>
    <row r="17" spans="1:5" ht="13" x14ac:dyDescent="0.25">
      <c r="A17" s="10" t="s">
        <v>60</v>
      </c>
      <c r="B17" s="2" t="s">
        <v>36</v>
      </c>
      <c r="C17" s="30">
        <v>4879.8500000000004</v>
      </c>
      <c r="D17" s="30">
        <v>58016.65</v>
      </c>
      <c r="E17" s="32">
        <v>8.4099999999999994E-2</v>
      </c>
    </row>
    <row r="18" spans="1:5" ht="13" x14ac:dyDescent="0.25">
      <c r="A18" s="10" t="s">
        <v>54</v>
      </c>
      <c r="B18" s="2" t="s">
        <v>49</v>
      </c>
      <c r="C18" s="30">
        <v>4121.1000000000004</v>
      </c>
      <c r="D18" s="30">
        <v>69862.19</v>
      </c>
      <c r="E18" s="32">
        <v>5.8999999999999997E-2</v>
      </c>
    </row>
    <row r="19" spans="1:5" ht="13" x14ac:dyDescent="0.25">
      <c r="A19" s="10" t="s">
        <v>52</v>
      </c>
      <c r="B19" s="2" t="s">
        <v>49</v>
      </c>
      <c r="C19" s="30">
        <v>4094.3</v>
      </c>
      <c r="D19" s="30">
        <v>91903.72</v>
      </c>
      <c r="E19" s="32">
        <v>4.4499999999999998E-2</v>
      </c>
    </row>
    <row r="20" spans="1:5" ht="13" x14ac:dyDescent="0.25">
      <c r="A20" s="10" t="s">
        <v>64</v>
      </c>
      <c r="B20" s="2" t="s">
        <v>49</v>
      </c>
      <c r="C20" s="30">
        <v>3543.15</v>
      </c>
      <c r="D20" s="30">
        <v>44996.76</v>
      </c>
      <c r="E20" s="32">
        <v>7.8700000000000006E-2</v>
      </c>
    </row>
    <row r="21" spans="1:5" ht="13" x14ac:dyDescent="0.25">
      <c r="A21" s="10" t="s">
        <v>62</v>
      </c>
      <c r="B21" s="2" t="s">
        <v>45</v>
      </c>
      <c r="C21" s="30">
        <v>3361.81</v>
      </c>
      <c r="D21" s="30">
        <v>47138.39</v>
      </c>
      <c r="E21" s="32">
        <v>7.1300000000000002E-2</v>
      </c>
    </row>
    <row r="22" spans="1:5" ht="13" x14ac:dyDescent="0.25">
      <c r="A22" s="10" t="s">
        <v>69</v>
      </c>
      <c r="B22" s="2" t="s">
        <v>36</v>
      </c>
      <c r="C22" s="30">
        <v>2906.87</v>
      </c>
      <c r="D22" s="30">
        <v>8099.09</v>
      </c>
      <c r="E22" s="32">
        <v>0.3589</v>
      </c>
    </row>
    <row r="23" spans="1:5" ht="13" x14ac:dyDescent="0.25">
      <c r="A23" s="10" t="s">
        <v>44</v>
      </c>
      <c r="B23" s="2" t="s">
        <v>45</v>
      </c>
      <c r="C23" s="30">
        <v>2839.04</v>
      </c>
      <c r="D23" s="30">
        <v>169968.11</v>
      </c>
      <c r="E23" s="32">
        <v>1.67E-2</v>
      </c>
    </row>
    <row r="24" spans="1:5" ht="13" x14ac:dyDescent="0.25">
      <c r="A24" s="10" t="s">
        <v>56</v>
      </c>
      <c r="B24" s="2" t="s">
        <v>36</v>
      </c>
      <c r="C24" s="30">
        <v>2178.9299999999998</v>
      </c>
      <c r="D24" s="30">
        <v>65753.42</v>
      </c>
      <c r="E24" s="32">
        <v>3.3099999999999997E-2</v>
      </c>
    </row>
    <row r="25" spans="1:5" ht="13" x14ac:dyDescent="0.25">
      <c r="A25" s="10" t="s">
        <v>72</v>
      </c>
      <c r="B25" s="2" t="s">
        <v>45</v>
      </c>
      <c r="C25" s="30">
        <v>2080.3200000000002</v>
      </c>
      <c r="D25" s="30">
        <v>8366.86</v>
      </c>
      <c r="E25" s="32">
        <v>0.24859999999999999</v>
      </c>
    </row>
    <row r="26" spans="1:5" ht="13" x14ac:dyDescent="0.25">
      <c r="A26" s="10" t="s">
        <v>66</v>
      </c>
      <c r="B26" s="2" t="s">
        <v>36</v>
      </c>
      <c r="C26" s="30">
        <v>1871.07</v>
      </c>
      <c r="D26" s="30">
        <v>32550.42</v>
      </c>
      <c r="E26" s="32">
        <v>5.7500000000000002E-2</v>
      </c>
    </row>
    <row r="27" spans="1:5" ht="13" x14ac:dyDescent="0.25">
      <c r="A27" s="10" t="s">
        <v>75</v>
      </c>
      <c r="B27" s="2" t="s">
        <v>45</v>
      </c>
      <c r="C27" s="30">
        <v>1435.29</v>
      </c>
      <c r="D27" s="30">
        <v>4804.32</v>
      </c>
      <c r="E27" s="32">
        <v>0.29870000000000002</v>
      </c>
    </row>
    <row r="28" spans="1:5" ht="13" x14ac:dyDescent="0.25">
      <c r="A28" s="10" t="s">
        <v>50</v>
      </c>
      <c r="B28" s="2" t="s">
        <v>49</v>
      </c>
      <c r="C28" s="30">
        <v>1282.53</v>
      </c>
      <c r="D28" s="30">
        <v>101011.29</v>
      </c>
      <c r="E28" s="32">
        <v>1.2699999999999999E-2</v>
      </c>
    </row>
    <row r="29" spans="1:5" ht="13" x14ac:dyDescent="0.25">
      <c r="A29" s="10" t="s">
        <v>78</v>
      </c>
      <c r="B29" s="2" t="s">
        <v>79</v>
      </c>
      <c r="C29" s="30">
        <v>1248.69</v>
      </c>
      <c r="D29" s="30">
        <v>10936.01</v>
      </c>
      <c r="E29" s="32">
        <v>0.1142</v>
      </c>
    </row>
    <row r="30" spans="1:5" ht="13" x14ac:dyDescent="0.25">
      <c r="A30" s="10" t="s">
        <v>77</v>
      </c>
      <c r="B30" s="2" t="s">
        <v>45</v>
      </c>
      <c r="C30" s="30">
        <v>1148.98</v>
      </c>
      <c r="D30" s="30">
        <v>11097.63</v>
      </c>
      <c r="E30" s="32">
        <v>0.10349999999999999</v>
      </c>
    </row>
    <row r="31" spans="1:5" ht="13" x14ac:dyDescent="0.25">
      <c r="A31" s="10" t="s">
        <v>70</v>
      </c>
      <c r="B31" s="2" t="s">
        <v>36</v>
      </c>
      <c r="C31" s="30">
        <v>817.39</v>
      </c>
      <c r="D31" s="30">
        <v>24980.13</v>
      </c>
      <c r="E31" s="32">
        <v>3.27E-2</v>
      </c>
    </row>
    <row r="32" spans="1:5" ht="13" x14ac:dyDescent="0.25">
      <c r="A32" s="10" t="s">
        <v>71</v>
      </c>
      <c r="B32" s="2" t="s">
        <v>36</v>
      </c>
      <c r="C32" s="30">
        <v>435.41</v>
      </c>
      <c r="D32" s="30">
        <v>23613.01</v>
      </c>
      <c r="E32" s="32">
        <v>1.84E-2</v>
      </c>
    </row>
    <row r="33" spans="1:5" ht="13" x14ac:dyDescent="0.25">
      <c r="A33" s="10" t="s">
        <v>68</v>
      </c>
      <c r="B33" s="2" t="s">
        <v>36</v>
      </c>
      <c r="C33" s="30">
        <v>411.09</v>
      </c>
      <c r="D33" s="30">
        <v>29925.54</v>
      </c>
      <c r="E33" s="32">
        <v>1.37E-2</v>
      </c>
    </row>
    <row r="34" spans="1:5" ht="13" x14ac:dyDescent="0.25">
      <c r="A34" s="10" t="s">
        <v>74</v>
      </c>
      <c r="B34" s="2" t="s">
        <v>49</v>
      </c>
      <c r="C34" s="30">
        <v>374.36</v>
      </c>
      <c r="D34" s="30">
        <v>10902.45</v>
      </c>
      <c r="E34" s="32">
        <v>3.4299999999999997E-2</v>
      </c>
    </row>
    <row r="35" spans="1:5" ht="13" x14ac:dyDescent="0.25">
      <c r="A35" s="10" t="s">
        <v>83</v>
      </c>
      <c r="B35" s="2" t="s">
        <v>45</v>
      </c>
      <c r="C35" s="30">
        <v>248.24</v>
      </c>
      <c r="D35" s="30">
        <v>3109.79</v>
      </c>
      <c r="E35" s="32">
        <v>7.9799999999999996E-2</v>
      </c>
    </row>
    <row r="36" spans="1:5" ht="13" x14ac:dyDescent="0.25">
      <c r="A36" s="10" t="s">
        <v>76</v>
      </c>
      <c r="B36" s="2" t="s">
        <v>45</v>
      </c>
      <c r="C36" s="30">
        <v>227.44</v>
      </c>
      <c r="D36" s="30">
        <v>11334.66</v>
      </c>
      <c r="E36" s="32">
        <v>2.01E-2</v>
      </c>
    </row>
    <row r="37" spans="1:5" ht="13" x14ac:dyDescent="0.25">
      <c r="A37" s="10" t="s">
        <v>86</v>
      </c>
      <c r="B37" s="2" t="s">
        <v>45</v>
      </c>
      <c r="C37" s="30">
        <v>168.69</v>
      </c>
      <c r="D37" s="30">
        <v>1118.51</v>
      </c>
      <c r="E37" s="32">
        <v>0.15079999999999999</v>
      </c>
    </row>
    <row r="38" spans="1:5" ht="13" x14ac:dyDescent="0.25">
      <c r="A38" s="10" t="s">
        <v>88</v>
      </c>
      <c r="B38" s="2" t="s">
        <v>45</v>
      </c>
      <c r="C38" s="30">
        <v>147.05000000000001</v>
      </c>
      <c r="D38" s="30">
        <v>140.38999999999999</v>
      </c>
      <c r="E38" s="32">
        <v>1.0474000000000001</v>
      </c>
    </row>
    <row r="39" spans="1:5" ht="13" x14ac:dyDescent="0.25">
      <c r="A39" s="10" t="s">
        <v>89</v>
      </c>
      <c r="B39" s="2" t="s">
        <v>49</v>
      </c>
      <c r="C39" s="30">
        <v>119.02</v>
      </c>
      <c r="D39" s="30">
        <v>826.74</v>
      </c>
      <c r="E39" s="32">
        <v>0.14399999999999999</v>
      </c>
    </row>
    <row r="40" spans="1:5" ht="13" x14ac:dyDescent="0.25">
      <c r="A40" s="10" t="s">
        <v>73</v>
      </c>
      <c r="B40" s="2" t="s">
        <v>36</v>
      </c>
      <c r="C40" s="30">
        <v>100.7</v>
      </c>
      <c r="D40" s="30">
        <v>19096.189999999999</v>
      </c>
      <c r="E40" s="32">
        <v>5.3E-3</v>
      </c>
    </row>
    <row r="41" spans="1:5" ht="13" x14ac:dyDescent="0.25">
      <c r="A41" s="10" t="s">
        <v>85</v>
      </c>
      <c r="B41" s="2" t="s">
        <v>45</v>
      </c>
      <c r="C41" s="30">
        <v>39.67</v>
      </c>
      <c r="D41" s="30">
        <v>1905.58</v>
      </c>
      <c r="E41" s="32">
        <v>2.0799999999999999E-2</v>
      </c>
    </row>
    <row r="42" spans="1:5" ht="13" x14ac:dyDescent="0.25">
      <c r="A42" s="10" t="s">
        <v>91</v>
      </c>
      <c r="B42" s="2" t="s">
        <v>45</v>
      </c>
      <c r="C42" s="30">
        <v>14.75</v>
      </c>
      <c r="D42" s="30">
        <v>145.91999999999999</v>
      </c>
      <c r="E42" s="32">
        <v>0.1011</v>
      </c>
    </row>
    <row r="43" spans="1:5" ht="13" x14ac:dyDescent="0.25">
      <c r="A43" s="10" t="s">
        <v>90</v>
      </c>
      <c r="B43" s="2" t="s">
        <v>49</v>
      </c>
      <c r="C43" s="30">
        <v>8.5</v>
      </c>
      <c r="D43" s="30">
        <v>1300.25</v>
      </c>
      <c r="E43" s="32">
        <v>6.4999999999999997E-3</v>
      </c>
    </row>
    <row r="44" spans="1:5" ht="13" x14ac:dyDescent="0.25">
      <c r="A44" s="10" t="s">
        <v>80</v>
      </c>
      <c r="B44" s="2" t="s">
        <v>49</v>
      </c>
      <c r="C44" s="30">
        <v>0</v>
      </c>
      <c r="D44" s="30">
        <v>6553.74</v>
      </c>
      <c r="E44" s="32">
        <v>0</v>
      </c>
    </row>
    <row r="45" spans="1:5" ht="13" x14ac:dyDescent="0.25">
      <c r="A45" s="10" t="s">
        <v>93</v>
      </c>
      <c r="B45" s="2" t="s">
        <v>45</v>
      </c>
      <c r="C45" s="30">
        <v>0</v>
      </c>
      <c r="D45" s="30">
        <v>1253.1400000000001</v>
      </c>
      <c r="E45" s="32">
        <v>0</v>
      </c>
    </row>
    <row r="46" spans="1:5" ht="13" x14ac:dyDescent="0.25">
      <c r="A46" s="10" t="s">
        <v>87</v>
      </c>
      <c r="B46" s="2" t="s">
        <v>45</v>
      </c>
      <c r="C46" s="30">
        <v>0</v>
      </c>
      <c r="D46" s="30">
        <v>1411.87</v>
      </c>
      <c r="E46" s="32">
        <v>0</v>
      </c>
    </row>
    <row r="47" spans="1:5" ht="13" x14ac:dyDescent="0.25">
      <c r="A47" s="10" t="s">
        <v>84</v>
      </c>
      <c r="B47" s="2" t="s">
        <v>45</v>
      </c>
      <c r="C47" s="30">
        <v>0</v>
      </c>
      <c r="D47" s="30">
        <v>3070.54</v>
      </c>
      <c r="E47" s="32">
        <v>0</v>
      </c>
    </row>
    <row r="48" spans="1:5" ht="13" x14ac:dyDescent="0.25">
      <c r="A48" s="10" t="s">
        <v>92</v>
      </c>
      <c r="B48" s="2" t="s">
        <v>45</v>
      </c>
      <c r="C48" s="30">
        <v>0</v>
      </c>
      <c r="D48" s="30">
        <v>536.41</v>
      </c>
      <c r="E48" s="32">
        <v>0</v>
      </c>
    </row>
    <row r="49" spans="1:5" ht="13" x14ac:dyDescent="0.25">
      <c r="A49" s="10" t="s">
        <v>82</v>
      </c>
      <c r="B49" s="2" t="s">
        <v>45</v>
      </c>
      <c r="C49" s="30">
        <v>0</v>
      </c>
      <c r="D49" s="30">
        <v>4883.04</v>
      </c>
      <c r="E49" s="32">
        <v>0</v>
      </c>
    </row>
    <row r="50" spans="1:5" ht="13" x14ac:dyDescent="0.25">
      <c r="A50" s="10" t="s">
        <v>81</v>
      </c>
      <c r="B50" s="2" t="s">
        <v>49</v>
      </c>
      <c r="C50" s="30">
        <v>0</v>
      </c>
      <c r="D50" s="30">
        <v>5633.32</v>
      </c>
      <c r="E50" s="32">
        <v>0</v>
      </c>
    </row>
    <row r="51" spans="1:5" ht="12.5" x14ac:dyDescent="0.25"/>
    <row r="52" spans="1:5" ht="12.5" x14ac:dyDescent="0.25">
      <c r="A52" s="17" t="s">
        <v>478</v>
      </c>
      <c r="B52" s="17"/>
      <c r="C52" s="17"/>
      <c r="D52" s="17"/>
      <c r="E52" s="17"/>
    </row>
    <row r="53" spans="1:5" ht="12.5" x14ac:dyDescent="0.25">
      <c r="A53" s="17"/>
      <c r="B53" s="17"/>
      <c r="C53" s="17"/>
      <c r="D53" s="17"/>
      <c r="E53" s="17"/>
    </row>
  </sheetData>
  <mergeCells count="6">
    <mergeCell ref="A52:E53"/>
    <mergeCell ref="A1:E1"/>
    <mergeCell ref="A2:E2"/>
    <mergeCell ref="A3:E3"/>
    <mergeCell ref="A4:E4"/>
    <mergeCell ref="A5:E5"/>
  </mergeCell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B9BD5"/>
  </sheetPr>
  <dimension ref="A1:F32"/>
  <sheetViews>
    <sheetView showGridLines="0" workbookViewId="0">
      <pane ySplit="7" topLeftCell="A8" activePane="bottomLeft" state="frozen"/>
      <selection pane="bottomLeft" activeCell="C13" sqref="C13"/>
    </sheetView>
  </sheetViews>
  <sheetFormatPr defaultColWidth="12.6328125" defaultRowHeight="15.75" customHeight="1" x14ac:dyDescent="0.25"/>
  <cols>
    <col min="1" max="1" width="10.90625" customWidth="1"/>
    <col min="2" max="2" width="12.7265625" customWidth="1"/>
    <col min="3" max="3" width="16.36328125" customWidth="1"/>
    <col min="4" max="4" width="15.453125" customWidth="1"/>
    <col min="5" max="5" width="20.90625" customWidth="1"/>
    <col min="6" max="6" width="23.6328125" customWidth="1"/>
  </cols>
  <sheetData>
    <row r="1" spans="1:6" ht="23.5" x14ac:dyDescent="0.25">
      <c r="A1" s="11" t="s">
        <v>145</v>
      </c>
      <c r="B1" s="11"/>
      <c r="C1" s="11"/>
      <c r="D1" s="11"/>
      <c r="E1" s="11"/>
      <c r="F1" s="11"/>
    </row>
    <row r="2" spans="1:6" ht="13" x14ac:dyDescent="0.25">
      <c r="A2" s="12" t="s">
        <v>236</v>
      </c>
      <c r="B2" s="12"/>
      <c r="C2" s="12"/>
      <c r="D2" s="12"/>
      <c r="E2" s="12"/>
      <c r="F2" s="12"/>
    </row>
    <row r="3" spans="1:6" ht="13" x14ac:dyDescent="0.25">
      <c r="A3" s="14" t="s">
        <v>237</v>
      </c>
      <c r="B3" s="14"/>
      <c r="C3" s="14"/>
      <c r="D3" s="14"/>
      <c r="E3" s="14"/>
      <c r="F3" s="14"/>
    </row>
    <row r="4" spans="1:6" ht="13" x14ac:dyDescent="0.25">
      <c r="A4" s="14" t="s">
        <v>238</v>
      </c>
      <c r="B4" s="14"/>
      <c r="C4" s="14"/>
      <c r="D4" s="14"/>
      <c r="E4" s="14"/>
      <c r="F4" s="14"/>
    </row>
    <row r="5" spans="1:6" ht="13" x14ac:dyDescent="0.25">
      <c r="A5" s="14" t="s">
        <v>239</v>
      </c>
      <c r="B5" s="14"/>
      <c r="C5" s="14"/>
      <c r="D5" s="14"/>
      <c r="E5" s="14"/>
      <c r="F5" s="14"/>
    </row>
    <row r="6" spans="1:6" ht="13" x14ac:dyDescent="0.25">
      <c r="A6" s="2"/>
      <c r="B6" s="2"/>
      <c r="C6" s="2"/>
      <c r="D6" s="2"/>
      <c r="E6" s="2"/>
      <c r="F6" s="2"/>
    </row>
    <row r="7" spans="1:6" s="1" customFormat="1" ht="13" x14ac:dyDescent="0.25">
      <c r="A7" s="3" t="s">
        <v>120</v>
      </c>
      <c r="B7" s="3" t="s">
        <v>121</v>
      </c>
      <c r="C7" s="3" t="s">
        <v>122</v>
      </c>
      <c r="D7" s="3" t="s">
        <v>123</v>
      </c>
      <c r="E7" s="3" t="s">
        <v>146</v>
      </c>
      <c r="F7" s="3" t="s">
        <v>147</v>
      </c>
    </row>
    <row r="8" spans="1:6" ht="13" x14ac:dyDescent="0.25">
      <c r="A8" s="9">
        <v>2009</v>
      </c>
      <c r="B8" s="5">
        <v>12</v>
      </c>
      <c r="C8" s="2" t="s">
        <v>9</v>
      </c>
      <c r="D8" s="2" t="s">
        <v>10</v>
      </c>
      <c r="E8" s="30">
        <v>825685.76</v>
      </c>
      <c r="F8" s="30">
        <v>825685.76</v>
      </c>
    </row>
    <row r="9" spans="1:6" ht="13" x14ac:dyDescent="0.25">
      <c r="A9" s="9">
        <v>2010</v>
      </c>
      <c r="B9" s="5">
        <v>1</v>
      </c>
      <c r="C9" s="2" t="s">
        <v>12</v>
      </c>
      <c r="D9" s="2" t="s">
        <v>13</v>
      </c>
      <c r="E9" s="30">
        <v>652708.5</v>
      </c>
      <c r="F9" s="30">
        <v>1478394.26</v>
      </c>
    </row>
    <row r="10" spans="1:6" ht="13" x14ac:dyDescent="0.25">
      <c r="A10" s="9">
        <v>2010</v>
      </c>
      <c r="B10" s="5">
        <v>2</v>
      </c>
      <c r="C10" s="2" t="s">
        <v>14</v>
      </c>
      <c r="D10" s="2" t="s">
        <v>15</v>
      </c>
      <c r="E10" s="30">
        <v>553339.74</v>
      </c>
      <c r="F10" s="30">
        <v>2031734</v>
      </c>
    </row>
    <row r="11" spans="1:6" ht="13" x14ac:dyDescent="0.25">
      <c r="A11" s="9">
        <v>2010</v>
      </c>
      <c r="B11" s="5">
        <v>3</v>
      </c>
      <c r="C11" s="2" t="s">
        <v>16</v>
      </c>
      <c r="D11" s="2" t="s">
        <v>17</v>
      </c>
      <c r="E11" s="30">
        <v>833570.13</v>
      </c>
      <c r="F11" s="30">
        <v>2865304.13</v>
      </c>
    </row>
    <row r="12" spans="1:6" ht="13" x14ac:dyDescent="0.25">
      <c r="A12" s="9">
        <v>2010</v>
      </c>
      <c r="B12" s="5">
        <v>4</v>
      </c>
      <c r="C12" s="2" t="s">
        <v>18</v>
      </c>
      <c r="D12" s="2" t="s">
        <v>19</v>
      </c>
      <c r="E12" s="30">
        <v>627934.63</v>
      </c>
      <c r="F12" s="30">
        <v>3493238.76</v>
      </c>
    </row>
    <row r="13" spans="1:6" ht="13" x14ac:dyDescent="0.25">
      <c r="A13" s="9">
        <v>2010</v>
      </c>
      <c r="B13" s="5">
        <v>5</v>
      </c>
      <c r="C13" s="2" t="s">
        <v>20</v>
      </c>
      <c r="D13" s="2" t="s">
        <v>21</v>
      </c>
      <c r="E13" s="30">
        <v>659858.86</v>
      </c>
      <c r="F13" s="30">
        <v>4153097.62</v>
      </c>
    </row>
    <row r="14" spans="1:6" ht="13" x14ac:dyDescent="0.25">
      <c r="A14" s="9">
        <v>2010</v>
      </c>
      <c r="B14" s="5">
        <v>6</v>
      </c>
      <c r="C14" s="2" t="s">
        <v>22</v>
      </c>
      <c r="D14" s="2" t="s">
        <v>23</v>
      </c>
      <c r="E14" s="30">
        <v>752270.14</v>
      </c>
      <c r="F14" s="30">
        <v>4905367.76</v>
      </c>
    </row>
    <row r="15" spans="1:6" ht="13" x14ac:dyDescent="0.25">
      <c r="A15" s="9">
        <v>2010</v>
      </c>
      <c r="B15" s="5">
        <v>7</v>
      </c>
      <c r="C15" s="2" t="s">
        <v>24</v>
      </c>
      <c r="D15" s="2" t="s">
        <v>25</v>
      </c>
      <c r="E15" s="30">
        <v>606681.15</v>
      </c>
      <c r="F15" s="30">
        <v>5512048.9100000001</v>
      </c>
    </row>
    <row r="16" spans="1:6" ht="13" x14ac:dyDescent="0.25">
      <c r="A16" s="9">
        <v>2010</v>
      </c>
      <c r="B16" s="5">
        <v>8</v>
      </c>
      <c r="C16" s="2" t="s">
        <v>26</v>
      </c>
      <c r="D16" s="2" t="s">
        <v>27</v>
      </c>
      <c r="E16" s="30">
        <v>697274.91</v>
      </c>
      <c r="F16" s="30">
        <v>6209323.8200000003</v>
      </c>
    </row>
    <row r="17" spans="1:6" ht="13" x14ac:dyDescent="0.25">
      <c r="A17" s="9">
        <v>2010</v>
      </c>
      <c r="B17" s="5">
        <v>9</v>
      </c>
      <c r="C17" s="2" t="s">
        <v>28</v>
      </c>
      <c r="D17" s="2" t="s">
        <v>29</v>
      </c>
      <c r="E17" s="30">
        <v>924333.01</v>
      </c>
      <c r="F17" s="30">
        <v>7133656.8300000001</v>
      </c>
    </row>
    <row r="18" spans="1:6" ht="13" x14ac:dyDescent="0.25">
      <c r="A18" s="9">
        <v>2010</v>
      </c>
      <c r="B18" s="5">
        <v>10</v>
      </c>
      <c r="C18" s="2" t="s">
        <v>30</v>
      </c>
      <c r="D18" s="2" t="s">
        <v>31</v>
      </c>
      <c r="E18" s="30">
        <v>1126558.04</v>
      </c>
      <c r="F18" s="30">
        <v>8260214.8700000001</v>
      </c>
    </row>
    <row r="19" spans="1:6" ht="13" x14ac:dyDescent="0.25">
      <c r="A19" s="9">
        <v>2010</v>
      </c>
      <c r="B19" s="5">
        <v>11</v>
      </c>
      <c r="C19" s="2" t="s">
        <v>33</v>
      </c>
      <c r="D19" s="2" t="s">
        <v>34</v>
      </c>
      <c r="E19" s="30">
        <v>1470272.48</v>
      </c>
      <c r="F19" s="30">
        <v>9730487.3499999996</v>
      </c>
    </row>
    <row r="20" spans="1:6" ht="13" x14ac:dyDescent="0.25">
      <c r="A20" s="9">
        <v>2010</v>
      </c>
      <c r="B20" s="5">
        <v>12</v>
      </c>
      <c r="C20" s="2" t="s">
        <v>9</v>
      </c>
      <c r="D20" s="2" t="s">
        <v>37</v>
      </c>
      <c r="E20" s="30">
        <v>1262598.79</v>
      </c>
      <c r="F20" s="30">
        <v>10993086.140000001</v>
      </c>
    </row>
    <row r="21" spans="1:6" ht="13" x14ac:dyDescent="0.25">
      <c r="A21" s="9">
        <v>2011</v>
      </c>
      <c r="B21" s="5">
        <v>1</v>
      </c>
      <c r="C21" s="2" t="s">
        <v>12</v>
      </c>
      <c r="D21" s="2" t="s">
        <v>39</v>
      </c>
      <c r="E21" s="30">
        <v>691364.56</v>
      </c>
      <c r="F21" s="30">
        <v>11684450.699999999</v>
      </c>
    </row>
    <row r="22" spans="1:6" ht="13" x14ac:dyDescent="0.25">
      <c r="A22" s="9">
        <v>2011</v>
      </c>
      <c r="B22" s="5">
        <v>2</v>
      </c>
      <c r="C22" s="2" t="s">
        <v>14</v>
      </c>
      <c r="D22" s="2" t="s">
        <v>41</v>
      </c>
      <c r="E22" s="30">
        <v>523631.89</v>
      </c>
      <c r="F22" s="30">
        <v>12208082.59</v>
      </c>
    </row>
    <row r="23" spans="1:6" ht="13" x14ac:dyDescent="0.25">
      <c r="A23" s="9">
        <v>2011</v>
      </c>
      <c r="B23" s="5">
        <v>3</v>
      </c>
      <c r="C23" s="2" t="s">
        <v>16</v>
      </c>
      <c r="D23" s="2" t="s">
        <v>43</v>
      </c>
      <c r="E23" s="30">
        <v>717639.36</v>
      </c>
      <c r="F23" s="30">
        <v>12925721.949999999</v>
      </c>
    </row>
    <row r="24" spans="1:6" ht="13" x14ac:dyDescent="0.25">
      <c r="A24" s="9">
        <v>2011</v>
      </c>
      <c r="B24" s="5">
        <v>4</v>
      </c>
      <c r="C24" s="2" t="s">
        <v>18</v>
      </c>
      <c r="D24" s="2" t="s">
        <v>46</v>
      </c>
      <c r="E24" s="30">
        <v>537808.62</v>
      </c>
      <c r="F24" s="30">
        <v>13463530.58</v>
      </c>
    </row>
    <row r="25" spans="1:6" ht="13" x14ac:dyDescent="0.25">
      <c r="A25" s="9">
        <v>2011</v>
      </c>
      <c r="B25" s="5">
        <v>5</v>
      </c>
      <c r="C25" s="2" t="s">
        <v>20</v>
      </c>
      <c r="D25" s="2" t="s">
        <v>51</v>
      </c>
      <c r="E25" s="30">
        <v>770536.02</v>
      </c>
      <c r="F25" s="30">
        <v>14234066.6</v>
      </c>
    </row>
    <row r="26" spans="1:6" ht="13" x14ac:dyDescent="0.25">
      <c r="A26" s="9">
        <v>2011</v>
      </c>
      <c r="B26" s="5">
        <v>6</v>
      </c>
      <c r="C26" s="2" t="s">
        <v>22</v>
      </c>
      <c r="D26" s="2" t="s">
        <v>53</v>
      </c>
      <c r="E26" s="30">
        <v>761739.9</v>
      </c>
      <c r="F26" s="30">
        <v>14995806.5</v>
      </c>
    </row>
    <row r="27" spans="1:6" ht="13" x14ac:dyDescent="0.25">
      <c r="A27" s="9">
        <v>2011</v>
      </c>
      <c r="B27" s="5">
        <v>7</v>
      </c>
      <c r="C27" s="2" t="s">
        <v>24</v>
      </c>
      <c r="D27" s="2" t="s">
        <v>57</v>
      </c>
      <c r="E27" s="30">
        <v>719221.19</v>
      </c>
      <c r="F27" s="30">
        <v>15715027.689999999</v>
      </c>
    </row>
    <row r="28" spans="1:6" ht="13" x14ac:dyDescent="0.25">
      <c r="A28" s="9">
        <v>2011</v>
      </c>
      <c r="B28" s="5">
        <v>8</v>
      </c>
      <c r="C28" s="2" t="s">
        <v>26</v>
      </c>
      <c r="D28" s="2" t="s">
        <v>59</v>
      </c>
      <c r="E28" s="30">
        <v>737014.26</v>
      </c>
      <c r="F28" s="30">
        <v>16452041.949999999</v>
      </c>
    </row>
    <row r="29" spans="1:6" ht="13" x14ac:dyDescent="0.25">
      <c r="A29" s="9">
        <v>2011</v>
      </c>
      <c r="B29" s="5">
        <v>9</v>
      </c>
      <c r="C29" s="2" t="s">
        <v>28</v>
      </c>
      <c r="D29" s="2" t="s">
        <v>61</v>
      </c>
      <c r="E29" s="30">
        <v>1058590.17</v>
      </c>
      <c r="F29" s="30">
        <v>17510632.120000001</v>
      </c>
    </row>
    <row r="30" spans="1:6" ht="13" x14ac:dyDescent="0.25">
      <c r="A30" s="9">
        <v>2011</v>
      </c>
      <c r="B30" s="5">
        <v>10</v>
      </c>
      <c r="C30" s="2" t="s">
        <v>30</v>
      </c>
      <c r="D30" s="2" t="s">
        <v>63</v>
      </c>
      <c r="E30" s="30">
        <v>1154979.3</v>
      </c>
      <c r="F30" s="30">
        <v>18665611.420000002</v>
      </c>
    </row>
    <row r="31" spans="1:6" ht="13" x14ac:dyDescent="0.25">
      <c r="A31" s="9">
        <v>2011</v>
      </c>
      <c r="B31" s="5">
        <v>11</v>
      </c>
      <c r="C31" s="2" t="s">
        <v>33</v>
      </c>
      <c r="D31" s="2" t="s">
        <v>65</v>
      </c>
      <c r="E31" s="30">
        <v>1509496.33</v>
      </c>
      <c r="F31" s="30">
        <v>20175107.75</v>
      </c>
    </row>
    <row r="32" spans="1:6" ht="13" x14ac:dyDescent="0.25">
      <c r="A32" s="9">
        <v>2011</v>
      </c>
      <c r="B32" s="5">
        <v>12</v>
      </c>
      <c r="C32" s="2" t="s">
        <v>9</v>
      </c>
      <c r="D32" s="2" t="s">
        <v>67</v>
      </c>
      <c r="E32" s="30">
        <v>638810.68000000005</v>
      </c>
      <c r="F32" s="30">
        <v>20813918.43</v>
      </c>
    </row>
  </sheetData>
  <mergeCells count="5">
    <mergeCell ref="A1:F1"/>
    <mergeCell ref="A2:F2"/>
    <mergeCell ref="A3:F3"/>
    <mergeCell ref="A4:F4"/>
    <mergeCell ref="A5:F5"/>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B9BD5"/>
  </sheetPr>
  <dimension ref="A1:D32"/>
  <sheetViews>
    <sheetView showGridLines="0" workbookViewId="0">
      <pane ySplit="7" topLeftCell="A8" activePane="bottomLeft" state="frozen"/>
      <selection pane="bottomLeft" activeCell="C13" sqref="C13"/>
    </sheetView>
  </sheetViews>
  <sheetFormatPr defaultColWidth="15.08984375" defaultRowHeight="15.75" customHeight="1" x14ac:dyDescent="0.25"/>
  <cols>
    <col min="1" max="1" width="18.1796875" customWidth="1"/>
    <col min="2" max="2" width="20" customWidth="1"/>
    <col min="3" max="3" width="24.54296875" customWidth="1"/>
    <col min="4" max="4" width="23.6328125" customWidth="1"/>
  </cols>
  <sheetData>
    <row r="1" spans="1:4" ht="23.5" x14ac:dyDescent="0.25">
      <c r="A1" s="11" t="s">
        <v>148</v>
      </c>
      <c r="B1" s="11"/>
      <c r="C1" s="11"/>
      <c r="D1" s="11"/>
    </row>
    <row r="2" spans="1:4" ht="13" x14ac:dyDescent="0.25">
      <c r="A2" s="12" t="s">
        <v>240</v>
      </c>
      <c r="B2" s="12"/>
      <c r="C2" s="12"/>
      <c r="D2" s="12"/>
    </row>
    <row r="3" spans="1:4" ht="13" x14ac:dyDescent="0.25">
      <c r="A3" s="14" t="s">
        <v>241</v>
      </c>
      <c r="B3" s="14"/>
      <c r="C3" s="14"/>
      <c r="D3" s="14"/>
    </row>
    <row r="4" spans="1:4" ht="13" x14ac:dyDescent="0.25">
      <c r="A4" s="14" t="s">
        <v>242</v>
      </c>
      <c r="B4" s="14"/>
      <c r="C4" s="14"/>
      <c r="D4" s="14"/>
    </row>
    <row r="5" spans="1:4" ht="13" x14ac:dyDescent="0.25">
      <c r="A5" s="14" t="s">
        <v>243</v>
      </c>
      <c r="B5" s="14"/>
      <c r="C5" s="14"/>
      <c r="D5" s="14"/>
    </row>
    <row r="6" spans="1:4" ht="13" x14ac:dyDescent="0.25">
      <c r="A6" s="2"/>
      <c r="B6" s="2"/>
      <c r="C6" s="2"/>
      <c r="D6" s="2"/>
    </row>
    <row r="7" spans="1:4" s="1" customFormat="1" ht="13" x14ac:dyDescent="0.25">
      <c r="A7" s="3" t="s">
        <v>149</v>
      </c>
      <c r="B7" s="3" t="s">
        <v>150</v>
      </c>
      <c r="C7" s="3" t="s">
        <v>151</v>
      </c>
      <c r="D7" s="3" t="s">
        <v>140</v>
      </c>
    </row>
    <row r="8" spans="1:4" ht="13" x14ac:dyDescent="0.25">
      <c r="A8" s="2" t="s">
        <v>10</v>
      </c>
      <c r="B8" s="5">
        <v>1045</v>
      </c>
      <c r="C8" s="30">
        <v>9058705.2699999996</v>
      </c>
      <c r="D8" s="30">
        <v>8668.6200000000008</v>
      </c>
    </row>
    <row r="9" spans="1:4" ht="13" x14ac:dyDescent="0.25">
      <c r="A9" s="2" t="s">
        <v>13</v>
      </c>
      <c r="B9" s="5">
        <v>394</v>
      </c>
      <c r="C9" s="30">
        <v>1225886.1000000001</v>
      </c>
      <c r="D9" s="30">
        <v>3111.39</v>
      </c>
    </row>
    <row r="10" spans="1:4" ht="13" x14ac:dyDescent="0.25">
      <c r="A10" s="2" t="s">
        <v>15</v>
      </c>
      <c r="B10" s="5">
        <v>363</v>
      </c>
      <c r="C10" s="30">
        <v>948918.82</v>
      </c>
      <c r="D10" s="30">
        <v>2614.1</v>
      </c>
    </row>
    <row r="11" spans="1:4" ht="13" x14ac:dyDescent="0.25">
      <c r="A11" s="2" t="s">
        <v>17</v>
      </c>
      <c r="B11" s="5">
        <v>436</v>
      </c>
      <c r="C11" s="30">
        <v>1185768.72</v>
      </c>
      <c r="D11" s="30">
        <v>2719.65</v>
      </c>
    </row>
    <row r="12" spans="1:4" ht="13" x14ac:dyDescent="0.25">
      <c r="A12" s="2" t="s">
        <v>19</v>
      </c>
      <c r="B12" s="5">
        <v>291</v>
      </c>
      <c r="C12" s="30">
        <v>536518.06999999995</v>
      </c>
      <c r="D12" s="30">
        <v>1843.7</v>
      </c>
    </row>
    <row r="13" spans="1:4" ht="13" x14ac:dyDescent="0.25">
      <c r="A13" s="2" t="s">
        <v>21</v>
      </c>
      <c r="B13" s="5">
        <v>254</v>
      </c>
      <c r="C13" s="30">
        <v>388721.76</v>
      </c>
      <c r="D13" s="30">
        <v>1530.4</v>
      </c>
    </row>
    <row r="14" spans="1:4" ht="13" x14ac:dyDescent="0.25">
      <c r="A14" s="2" t="s">
        <v>23</v>
      </c>
      <c r="B14" s="5">
        <v>269</v>
      </c>
      <c r="C14" s="30">
        <v>590893.23</v>
      </c>
      <c r="D14" s="30">
        <v>2196.63</v>
      </c>
    </row>
    <row r="15" spans="1:4" ht="13" x14ac:dyDescent="0.25">
      <c r="A15" s="2" t="s">
        <v>25</v>
      </c>
      <c r="B15" s="5">
        <v>183</v>
      </c>
      <c r="C15" s="30">
        <v>311451.5</v>
      </c>
      <c r="D15" s="30">
        <v>1701.92</v>
      </c>
    </row>
    <row r="16" spans="1:4" ht="13" x14ac:dyDescent="0.25">
      <c r="A16" s="2" t="s">
        <v>27</v>
      </c>
      <c r="B16" s="5">
        <v>158</v>
      </c>
      <c r="C16" s="30">
        <v>269310.88</v>
      </c>
      <c r="D16" s="30">
        <v>1704.5</v>
      </c>
    </row>
    <row r="17" spans="1:4" ht="13" x14ac:dyDescent="0.25">
      <c r="A17" s="2" t="s">
        <v>29</v>
      </c>
      <c r="B17" s="5">
        <v>242</v>
      </c>
      <c r="C17" s="30">
        <v>577997.46</v>
      </c>
      <c r="D17" s="30">
        <v>2388.42</v>
      </c>
    </row>
    <row r="18" spans="1:4" ht="13" x14ac:dyDescent="0.25">
      <c r="A18" s="2" t="s">
        <v>31</v>
      </c>
      <c r="B18" s="5">
        <v>379</v>
      </c>
      <c r="C18" s="30">
        <v>684405.02</v>
      </c>
      <c r="D18" s="30">
        <v>1805.82</v>
      </c>
    </row>
    <row r="19" spans="1:4" ht="13" x14ac:dyDescent="0.25">
      <c r="A19" s="2" t="s">
        <v>34</v>
      </c>
      <c r="B19" s="5">
        <v>322</v>
      </c>
      <c r="C19" s="30">
        <v>364791.44</v>
      </c>
      <c r="D19" s="30">
        <v>1132.8900000000001</v>
      </c>
    </row>
    <row r="20" spans="1:4" ht="13" x14ac:dyDescent="0.25">
      <c r="A20" s="2" t="s">
        <v>37</v>
      </c>
      <c r="B20" s="5">
        <v>77</v>
      </c>
      <c r="C20" s="30">
        <v>75981.710000000006</v>
      </c>
      <c r="D20" s="30">
        <v>986.78</v>
      </c>
    </row>
    <row r="21" spans="1:4" ht="13" x14ac:dyDescent="0.25">
      <c r="A21" s="2" t="s">
        <v>39</v>
      </c>
      <c r="B21" s="5">
        <v>71</v>
      </c>
      <c r="C21" s="30">
        <v>140506.66</v>
      </c>
      <c r="D21" s="30">
        <v>1978.97</v>
      </c>
    </row>
    <row r="22" spans="1:4" ht="13" x14ac:dyDescent="0.25">
      <c r="A22" s="2" t="s">
        <v>41</v>
      </c>
      <c r="B22" s="5">
        <v>123</v>
      </c>
      <c r="C22" s="30">
        <v>136992.56</v>
      </c>
      <c r="D22" s="30">
        <v>1113.76</v>
      </c>
    </row>
    <row r="23" spans="1:4" ht="13" x14ac:dyDescent="0.25">
      <c r="A23" s="2" t="s">
        <v>43</v>
      </c>
      <c r="B23" s="5">
        <v>178</v>
      </c>
      <c r="C23" s="30">
        <v>219848.4</v>
      </c>
      <c r="D23" s="30">
        <v>1235.0999999999999</v>
      </c>
    </row>
    <row r="24" spans="1:4" ht="13" x14ac:dyDescent="0.25">
      <c r="A24" s="2" t="s">
        <v>46</v>
      </c>
      <c r="B24" s="5">
        <v>105</v>
      </c>
      <c r="C24" s="30">
        <v>107656.84</v>
      </c>
      <c r="D24" s="30">
        <v>1025.3</v>
      </c>
    </row>
    <row r="25" spans="1:4" ht="13" x14ac:dyDescent="0.25">
      <c r="A25" s="2" t="s">
        <v>51</v>
      </c>
      <c r="B25" s="5">
        <v>108</v>
      </c>
      <c r="C25" s="30">
        <v>106102.77</v>
      </c>
      <c r="D25" s="30">
        <v>982.43</v>
      </c>
    </row>
    <row r="26" spans="1:4" ht="13" x14ac:dyDescent="0.25">
      <c r="A26" s="2" t="s">
        <v>53</v>
      </c>
      <c r="B26" s="5">
        <v>108</v>
      </c>
      <c r="C26" s="30">
        <v>140559.29</v>
      </c>
      <c r="D26" s="30">
        <v>1301.47</v>
      </c>
    </row>
    <row r="27" spans="1:4" ht="13" x14ac:dyDescent="0.25">
      <c r="A27" s="2" t="s">
        <v>57</v>
      </c>
      <c r="B27" s="5">
        <v>102</v>
      </c>
      <c r="C27" s="30">
        <v>94974.720000000001</v>
      </c>
      <c r="D27" s="30">
        <v>931.12</v>
      </c>
    </row>
    <row r="28" spans="1:4" ht="13" x14ac:dyDescent="0.25">
      <c r="A28" s="2" t="s">
        <v>59</v>
      </c>
      <c r="B28" s="5">
        <v>106</v>
      </c>
      <c r="C28" s="30">
        <v>149187.10999999999</v>
      </c>
      <c r="D28" s="30">
        <v>1407.43</v>
      </c>
    </row>
    <row r="29" spans="1:4" ht="13" x14ac:dyDescent="0.25">
      <c r="A29" s="2" t="s">
        <v>61</v>
      </c>
      <c r="B29" s="5">
        <v>187</v>
      </c>
      <c r="C29" s="30">
        <v>156728.67000000001</v>
      </c>
      <c r="D29" s="30">
        <v>838.12</v>
      </c>
    </row>
    <row r="30" spans="1:4" ht="13" x14ac:dyDescent="0.25">
      <c r="A30" s="2" t="s">
        <v>63</v>
      </c>
      <c r="B30" s="5">
        <v>221</v>
      </c>
      <c r="C30" s="30">
        <v>153548.92000000001</v>
      </c>
      <c r="D30" s="30">
        <v>694.79</v>
      </c>
    </row>
    <row r="31" spans="1:4" ht="13" x14ac:dyDescent="0.25">
      <c r="A31" s="2" t="s">
        <v>65</v>
      </c>
      <c r="B31" s="5">
        <v>192</v>
      </c>
      <c r="C31" s="30">
        <v>94129.16</v>
      </c>
      <c r="D31" s="30">
        <v>490.26</v>
      </c>
    </row>
    <row r="32" spans="1:4" ht="13" x14ac:dyDescent="0.25">
      <c r="A32" s="2" t="s">
        <v>67</v>
      </c>
      <c r="B32" s="5">
        <v>28</v>
      </c>
      <c r="C32" s="30">
        <v>23844.09</v>
      </c>
      <c r="D32" s="30">
        <v>851.57</v>
      </c>
    </row>
  </sheetData>
  <mergeCells count="5">
    <mergeCell ref="A1:D1"/>
    <mergeCell ref="A2:D2"/>
    <mergeCell ref="A3:D3"/>
    <mergeCell ref="A4:D4"/>
    <mergeCell ref="A5:D5"/>
  </mergeCell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B9BD5"/>
  </sheetPr>
  <dimension ref="A1:E50"/>
  <sheetViews>
    <sheetView showGridLines="0" workbookViewId="0">
      <pane ySplit="7" topLeftCell="A8" activePane="bottomLeft" state="frozen"/>
      <selection pane="bottomLeft" activeCell="C13" sqref="C13"/>
    </sheetView>
  </sheetViews>
  <sheetFormatPr defaultColWidth="15.08984375" defaultRowHeight="15.75" customHeight="1" x14ac:dyDescent="0.25"/>
  <cols>
    <col min="1" max="1" width="10.90625" customWidth="1"/>
    <col min="2" max="2" width="11.81640625" customWidth="1"/>
    <col min="3" max="4" width="20.90625" customWidth="1"/>
    <col min="5" max="5" width="16.36328125" customWidth="1"/>
  </cols>
  <sheetData>
    <row r="1" spans="1:5" ht="23.5" x14ac:dyDescent="0.25">
      <c r="A1" s="11" t="s">
        <v>152</v>
      </c>
      <c r="B1" s="11"/>
      <c r="C1" s="11"/>
      <c r="D1" s="11"/>
      <c r="E1" s="11"/>
    </row>
    <row r="2" spans="1:5" ht="13" x14ac:dyDescent="0.25">
      <c r="A2" s="12" t="s">
        <v>244</v>
      </c>
      <c r="B2" s="12"/>
      <c r="C2" s="12"/>
      <c r="D2" s="12"/>
      <c r="E2" s="12"/>
    </row>
    <row r="3" spans="1:5" ht="13" x14ac:dyDescent="0.25">
      <c r="A3" s="14" t="s">
        <v>245</v>
      </c>
      <c r="B3" s="14"/>
      <c r="C3" s="14"/>
      <c r="D3" s="14"/>
      <c r="E3" s="14"/>
    </row>
    <row r="4" spans="1:5" ht="13" x14ac:dyDescent="0.25">
      <c r="A4" s="14" t="s">
        <v>246</v>
      </c>
      <c r="B4" s="14"/>
      <c r="C4" s="14"/>
      <c r="D4" s="14"/>
      <c r="E4" s="14"/>
    </row>
    <row r="5" spans="1:5" ht="13" x14ac:dyDescent="0.25">
      <c r="A5" s="14" t="s">
        <v>247</v>
      </c>
      <c r="B5" s="14"/>
      <c r="C5" s="14"/>
      <c r="D5" s="14"/>
      <c r="E5" s="14"/>
    </row>
    <row r="6" spans="1:5" ht="13" x14ac:dyDescent="0.25">
      <c r="A6" s="2"/>
      <c r="B6" s="2"/>
      <c r="C6" s="2"/>
      <c r="D6" s="2"/>
      <c r="E6" s="2"/>
    </row>
    <row r="7" spans="1:5" s="1" customFormat="1" ht="13" x14ac:dyDescent="0.25">
      <c r="A7" s="3" t="s">
        <v>120</v>
      </c>
      <c r="B7" s="3" t="s">
        <v>153</v>
      </c>
      <c r="C7" s="3" t="s">
        <v>137</v>
      </c>
      <c r="D7" s="3" t="s">
        <v>132</v>
      </c>
      <c r="E7" s="3" t="s">
        <v>154</v>
      </c>
    </row>
    <row r="8" spans="1:5" ht="13" x14ac:dyDescent="0.25">
      <c r="A8" s="9">
        <v>2009</v>
      </c>
      <c r="B8" s="5">
        <v>4</v>
      </c>
      <c r="C8" s="2" t="s">
        <v>32</v>
      </c>
      <c r="D8" s="30">
        <v>750317.22</v>
      </c>
      <c r="E8" s="5">
        <v>1</v>
      </c>
    </row>
    <row r="9" spans="1:5" ht="13" x14ac:dyDescent="0.25">
      <c r="A9" s="9">
        <v>2009</v>
      </c>
      <c r="B9" s="5">
        <v>4</v>
      </c>
      <c r="C9" s="2" t="s">
        <v>36</v>
      </c>
      <c r="D9" s="30">
        <v>70280.070000000007</v>
      </c>
      <c r="E9" s="5">
        <v>2</v>
      </c>
    </row>
    <row r="10" spans="1:5" ht="13" x14ac:dyDescent="0.25">
      <c r="A10" s="9">
        <v>2009</v>
      </c>
      <c r="B10" s="5">
        <v>4</v>
      </c>
      <c r="C10" s="2" t="s">
        <v>49</v>
      </c>
      <c r="D10" s="30">
        <v>4158.67</v>
      </c>
      <c r="E10" s="5">
        <v>3</v>
      </c>
    </row>
    <row r="11" spans="1:5" ht="13" x14ac:dyDescent="0.25">
      <c r="A11" s="9">
        <v>2009</v>
      </c>
      <c r="B11" s="5">
        <v>4</v>
      </c>
      <c r="C11" s="2" t="s">
        <v>45</v>
      </c>
      <c r="D11" s="30">
        <v>929.8</v>
      </c>
      <c r="E11" s="5">
        <v>4</v>
      </c>
    </row>
    <row r="12" spans="1:5" ht="13" x14ac:dyDescent="0.25">
      <c r="A12" s="9">
        <v>2010</v>
      </c>
      <c r="B12" s="5">
        <v>1</v>
      </c>
      <c r="C12" s="2" t="s">
        <v>32</v>
      </c>
      <c r="D12" s="30">
        <v>1688090.59</v>
      </c>
      <c r="E12" s="5">
        <v>1</v>
      </c>
    </row>
    <row r="13" spans="1:5" ht="13" x14ac:dyDescent="0.25">
      <c r="A13" s="9">
        <v>2010</v>
      </c>
      <c r="B13" s="5">
        <v>1</v>
      </c>
      <c r="C13" s="2" t="s">
        <v>36</v>
      </c>
      <c r="D13" s="30">
        <v>274794.05</v>
      </c>
      <c r="E13" s="5">
        <v>2</v>
      </c>
    </row>
    <row r="14" spans="1:5" ht="13" x14ac:dyDescent="0.25">
      <c r="A14" s="9">
        <v>2010</v>
      </c>
      <c r="B14" s="5">
        <v>1</v>
      </c>
      <c r="C14" s="2" t="s">
        <v>49</v>
      </c>
      <c r="D14" s="30">
        <v>64418.36</v>
      </c>
      <c r="E14" s="5">
        <v>3</v>
      </c>
    </row>
    <row r="15" spans="1:5" ht="13" x14ac:dyDescent="0.25">
      <c r="A15" s="9">
        <v>2010</v>
      </c>
      <c r="B15" s="5">
        <v>1</v>
      </c>
      <c r="C15" s="2" t="s">
        <v>45</v>
      </c>
      <c r="D15" s="30">
        <v>11280.27</v>
      </c>
      <c r="E15" s="5">
        <v>4</v>
      </c>
    </row>
    <row r="16" spans="1:5" ht="13" x14ac:dyDescent="0.25">
      <c r="A16" s="9">
        <v>2010</v>
      </c>
      <c r="B16" s="5">
        <v>1</v>
      </c>
      <c r="C16" s="2" t="s">
        <v>79</v>
      </c>
      <c r="D16" s="30">
        <v>1035.0999999999999</v>
      </c>
      <c r="E16" s="5">
        <v>5</v>
      </c>
    </row>
    <row r="17" spans="1:5" ht="13" x14ac:dyDescent="0.25">
      <c r="A17" s="9">
        <v>2010</v>
      </c>
      <c r="B17" s="5">
        <v>2</v>
      </c>
      <c r="C17" s="2" t="s">
        <v>32</v>
      </c>
      <c r="D17" s="30">
        <v>1743615.67</v>
      </c>
      <c r="E17" s="5">
        <v>1</v>
      </c>
    </row>
    <row r="18" spans="1:5" ht="13" x14ac:dyDescent="0.25">
      <c r="A18" s="9">
        <v>2010</v>
      </c>
      <c r="B18" s="5">
        <v>2</v>
      </c>
      <c r="C18" s="2" t="s">
        <v>36</v>
      </c>
      <c r="D18" s="30">
        <v>230047.02</v>
      </c>
      <c r="E18" s="5">
        <v>2</v>
      </c>
    </row>
    <row r="19" spans="1:5" ht="13" x14ac:dyDescent="0.25">
      <c r="A19" s="9">
        <v>2010</v>
      </c>
      <c r="B19" s="5">
        <v>2</v>
      </c>
      <c r="C19" s="2" t="s">
        <v>49</v>
      </c>
      <c r="D19" s="30">
        <v>47446.58</v>
      </c>
      <c r="E19" s="5">
        <v>3</v>
      </c>
    </row>
    <row r="20" spans="1:5" ht="13" x14ac:dyDescent="0.25">
      <c r="A20" s="9">
        <v>2010</v>
      </c>
      <c r="B20" s="5">
        <v>2</v>
      </c>
      <c r="C20" s="2" t="s">
        <v>45</v>
      </c>
      <c r="D20" s="30">
        <v>18701.84</v>
      </c>
      <c r="E20" s="5">
        <v>4</v>
      </c>
    </row>
    <row r="21" spans="1:5" ht="13" x14ac:dyDescent="0.25">
      <c r="A21" s="9">
        <v>2010</v>
      </c>
      <c r="B21" s="5">
        <v>2</v>
      </c>
      <c r="C21" s="2" t="s">
        <v>79</v>
      </c>
      <c r="D21" s="30">
        <v>252.52</v>
      </c>
      <c r="E21" s="5">
        <v>5</v>
      </c>
    </row>
    <row r="22" spans="1:5" ht="13" x14ac:dyDescent="0.25">
      <c r="A22" s="9">
        <v>2010</v>
      </c>
      <c r="B22" s="5">
        <v>3</v>
      </c>
      <c r="C22" s="2" t="s">
        <v>32</v>
      </c>
      <c r="D22" s="30">
        <v>1885034.6</v>
      </c>
      <c r="E22" s="5">
        <v>1</v>
      </c>
    </row>
    <row r="23" spans="1:5" ht="13" x14ac:dyDescent="0.25">
      <c r="A23" s="9">
        <v>2010</v>
      </c>
      <c r="B23" s="5">
        <v>3</v>
      </c>
      <c r="C23" s="2" t="s">
        <v>36</v>
      </c>
      <c r="D23" s="30">
        <v>292102.62</v>
      </c>
      <c r="E23" s="5">
        <v>2</v>
      </c>
    </row>
    <row r="24" spans="1:5" ht="13" x14ac:dyDescent="0.25">
      <c r="A24" s="9">
        <v>2010</v>
      </c>
      <c r="B24" s="5">
        <v>3</v>
      </c>
      <c r="C24" s="2" t="s">
        <v>49</v>
      </c>
      <c r="D24" s="30">
        <v>30028.16</v>
      </c>
      <c r="E24" s="5">
        <v>3</v>
      </c>
    </row>
    <row r="25" spans="1:5" ht="13" x14ac:dyDescent="0.25">
      <c r="A25" s="9">
        <v>2010</v>
      </c>
      <c r="B25" s="5">
        <v>3</v>
      </c>
      <c r="C25" s="2" t="s">
        <v>45</v>
      </c>
      <c r="D25" s="30">
        <v>16765.66</v>
      </c>
      <c r="E25" s="5">
        <v>4</v>
      </c>
    </row>
    <row r="26" spans="1:5" ht="13" x14ac:dyDescent="0.25">
      <c r="A26" s="9">
        <v>2010</v>
      </c>
      <c r="B26" s="5">
        <v>3</v>
      </c>
      <c r="C26" s="2" t="s">
        <v>79</v>
      </c>
      <c r="D26" s="30">
        <v>4358.03</v>
      </c>
      <c r="E26" s="5">
        <v>5</v>
      </c>
    </row>
    <row r="27" spans="1:5" ht="13" x14ac:dyDescent="0.25">
      <c r="A27" s="9">
        <v>2010</v>
      </c>
      <c r="B27" s="5">
        <v>4</v>
      </c>
      <c r="C27" s="2" t="s">
        <v>32</v>
      </c>
      <c r="D27" s="30">
        <v>3390414.57</v>
      </c>
      <c r="E27" s="5">
        <v>1</v>
      </c>
    </row>
    <row r="28" spans="1:5" ht="13" x14ac:dyDescent="0.25">
      <c r="A28" s="9">
        <v>2010</v>
      </c>
      <c r="B28" s="5">
        <v>4</v>
      </c>
      <c r="C28" s="2" t="s">
        <v>36</v>
      </c>
      <c r="D28" s="30">
        <v>348875.93</v>
      </c>
      <c r="E28" s="5">
        <v>2</v>
      </c>
    </row>
    <row r="29" spans="1:5" ht="13" x14ac:dyDescent="0.25">
      <c r="A29" s="9">
        <v>2010</v>
      </c>
      <c r="B29" s="5">
        <v>4</v>
      </c>
      <c r="C29" s="2" t="s">
        <v>49</v>
      </c>
      <c r="D29" s="30">
        <v>73768.539999999994</v>
      </c>
      <c r="E29" s="5">
        <v>3</v>
      </c>
    </row>
    <row r="30" spans="1:5" ht="13" x14ac:dyDescent="0.25">
      <c r="A30" s="9">
        <v>2010</v>
      </c>
      <c r="B30" s="5">
        <v>4</v>
      </c>
      <c r="C30" s="2" t="s">
        <v>45</v>
      </c>
      <c r="D30" s="30">
        <v>45829.7</v>
      </c>
      <c r="E30" s="5">
        <v>4</v>
      </c>
    </row>
    <row r="31" spans="1:5" ht="13" x14ac:dyDescent="0.25">
      <c r="A31" s="9">
        <v>2010</v>
      </c>
      <c r="B31" s="5">
        <v>4</v>
      </c>
      <c r="C31" s="2" t="s">
        <v>79</v>
      </c>
      <c r="D31" s="30">
        <v>540.57000000000005</v>
      </c>
      <c r="E31" s="5">
        <v>5</v>
      </c>
    </row>
    <row r="32" spans="1:5" ht="13" x14ac:dyDescent="0.25">
      <c r="A32" s="9">
        <v>2011</v>
      </c>
      <c r="B32" s="5">
        <v>1</v>
      </c>
      <c r="C32" s="2" t="s">
        <v>32</v>
      </c>
      <c r="D32" s="30">
        <v>1577548.21</v>
      </c>
      <c r="E32" s="5">
        <v>1</v>
      </c>
    </row>
    <row r="33" spans="1:5" ht="13" x14ac:dyDescent="0.25">
      <c r="A33" s="9">
        <v>2011</v>
      </c>
      <c r="B33" s="5">
        <v>1</v>
      </c>
      <c r="C33" s="2" t="s">
        <v>36</v>
      </c>
      <c r="D33" s="30">
        <v>264939.14</v>
      </c>
      <c r="E33" s="5">
        <v>2</v>
      </c>
    </row>
    <row r="34" spans="1:5" ht="13" x14ac:dyDescent="0.25">
      <c r="A34" s="9">
        <v>2011</v>
      </c>
      <c r="B34" s="5">
        <v>1</v>
      </c>
      <c r="C34" s="2" t="s">
        <v>45</v>
      </c>
      <c r="D34" s="30">
        <v>57871.94</v>
      </c>
      <c r="E34" s="5">
        <v>3</v>
      </c>
    </row>
    <row r="35" spans="1:5" ht="13" x14ac:dyDescent="0.25">
      <c r="A35" s="9">
        <v>2011</v>
      </c>
      <c r="B35" s="5">
        <v>1</v>
      </c>
      <c r="C35" s="2" t="s">
        <v>49</v>
      </c>
      <c r="D35" s="30">
        <v>32276.52</v>
      </c>
      <c r="E35" s="5">
        <v>4</v>
      </c>
    </row>
    <row r="36" spans="1:5" ht="13" x14ac:dyDescent="0.25">
      <c r="A36" s="9">
        <v>2011</v>
      </c>
      <c r="B36" s="5">
        <v>2</v>
      </c>
      <c r="C36" s="2" t="s">
        <v>32</v>
      </c>
      <c r="D36" s="30">
        <v>1735342.79</v>
      </c>
      <c r="E36" s="5">
        <v>1</v>
      </c>
    </row>
    <row r="37" spans="1:5" ht="13" x14ac:dyDescent="0.25">
      <c r="A37" s="9">
        <v>2011</v>
      </c>
      <c r="B37" s="5">
        <v>2</v>
      </c>
      <c r="C37" s="2" t="s">
        <v>36</v>
      </c>
      <c r="D37" s="30">
        <v>232503</v>
      </c>
      <c r="E37" s="5">
        <v>2</v>
      </c>
    </row>
    <row r="38" spans="1:5" ht="13" x14ac:dyDescent="0.25">
      <c r="A38" s="9">
        <v>2011</v>
      </c>
      <c r="B38" s="5">
        <v>2</v>
      </c>
      <c r="C38" s="2" t="s">
        <v>45</v>
      </c>
      <c r="D38" s="30">
        <v>65345.760000000002</v>
      </c>
      <c r="E38" s="5">
        <v>3</v>
      </c>
    </row>
    <row r="39" spans="1:5" ht="13" x14ac:dyDescent="0.25">
      <c r="A39" s="9">
        <v>2011</v>
      </c>
      <c r="B39" s="5">
        <v>2</v>
      </c>
      <c r="C39" s="2" t="s">
        <v>49</v>
      </c>
      <c r="D39" s="30">
        <v>35352.239999999998</v>
      </c>
      <c r="E39" s="5">
        <v>4</v>
      </c>
    </row>
    <row r="40" spans="1:5" ht="13" x14ac:dyDescent="0.25">
      <c r="A40" s="9">
        <v>2011</v>
      </c>
      <c r="B40" s="5">
        <v>2</v>
      </c>
      <c r="C40" s="2" t="s">
        <v>79</v>
      </c>
      <c r="D40" s="30">
        <v>1540.75</v>
      </c>
      <c r="E40" s="5">
        <v>5</v>
      </c>
    </row>
    <row r="41" spans="1:5" ht="13" x14ac:dyDescent="0.25">
      <c r="A41" s="9">
        <v>2011</v>
      </c>
      <c r="B41" s="5">
        <v>3</v>
      </c>
      <c r="C41" s="2" t="s">
        <v>32</v>
      </c>
      <c r="D41" s="30">
        <v>2084994.67</v>
      </c>
      <c r="E41" s="5">
        <v>1</v>
      </c>
    </row>
    <row r="42" spans="1:5" ht="13" x14ac:dyDescent="0.25">
      <c r="A42" s="9">
        <v>2011</v>
      </c>
      <c r="B42" s="5">
        <v>3</v>
      </c>
      <c r="C42" s="2" t="s">
        <v>36</v>
      </c>
      <c r="D42" s="30">
        <v>316195.7</v>
      </c>
      <c r="E42" s="5">
        <v>2</v>
      </c>
    </row>
    <row r="43" spans="1:5" ht="13" x14ac:dyDescent="0.25">
      <c r="A43" s="9">
        <v>2011</v>
      </c>
      <c r="B43" s="5">
        <v>3</v>
      </c>
      <c r="C43" s="2" t="s">
        <v>49</v>
      </c>
      <c r="D43" s="30">
        <v>55886.48</v>
      </c>
      <c r="E43" s="5">
        <v>3</v>
      </c>
    </row>
    <row r="44" spans="1:5" ht="13" x14ac:dyDescent="0.25">
      <c r="A44" s="9">
        <v>2011</v>
      </c>
      <c r="B44" s="5">
        <v>3</v>
      </c>
      <c r="C44" s="2" t="s">
        <v>45</v>
      </c>
      <c r="D44" s="30">
        <v>55505.48</v>
      </c>
      <c r="E44" s="5">
        <v>4</v>
      </c>
    </row>
    <row r="45" spans="1:5" ht="13" x14ac:dyDescent="0.25">
      <c r="A45" s="9">
        <v>2011</v>
      </c>
      <c r="B45" s="5">
        <v>3</v>
      </c>
      <c r="C45" s="2" t="s">
        <v>79</v>
      </c>
      <c r="D45" s="30">
        <v>2243.29</v>
      </c>
      <c r="E45" s="5">
        <v>5</v>
      </c>
    </row>
    <row r="46" spans="1:5" ht="13" x14ac:dyDescent="0.25">
      <c r="A46" s="9">
        <v>2011</v>
      </c>
      <c r="B46" s="5">
        <v>4</v>
      </c>
      <c r="C46" s="2" t="s">
        <v>32</v>
      </c>
      <c r="D46" s="30">
        <v>2856943.31</v>
      </c>
      <c r="E46" s="5">
        <v>1</v>
      </c>
    </row>
    <row r="47" spans="1:5" ht="13" x14ac:dyDescent="0.25">
      <c r="A47" s="9">
        <v>2011</v>
      </c>
      <c r="B47" s="5">
        <v>4</v>
      </c>
      <c r="C47" s="2" t="s">
        <v>36</v>
      </c>
      <c r="D47" s="30">
        <v>348346.63</v>
      </c>
      <c r="E47" s="5">
        <v>2</v>
      </c>
    </row>
    <row r="48" spans="1:5" ht="13" x14ac:dyDescent="0.25">
      <c r="A48" s="9">
        <v>2011</v>
      </c>
      <c r="B48" s="5">
        <v>4</v>
      </c>
      <c r="C48" s="2" t="s">
        <v>49</v>
      </c>
      <c r="D48" s="30">
        <v>49764.53</v>
      </c>
      <c r="E48" s="5">
        <v>3</v>
      </c>
    </row>
    <row r="49" spans="1:5" ht="13" x14ac:dyDescent="0.25">
      <c r="A49" s="9">
        <v>2011</v>
      </c>
      <c r="B49" s="5">
        <v>4</v>
      </c>
      <c r="C49" s="2" t="s">
        <v>45</v>
      </c>
      <c r="D49" s="30">
        <v>47266.09</v>
      </c>
      <c r="E49" s="5">
        <v>4</v>
      </c>
    </row>
    <row r="50" spans="1:5" ht="13" x14ac:dyDescent="0.25">
      <c r="A50" s="9">
        <v>2011</v>
      </c>
      <c r="B50" s="5">
        <v>4</v>
      </c>
      <c r="C50" s="2" t="s">
        <v>79</v>
      </c>
      <c r="D50" s="30">
        <v>965.75</v>
      </c>
      <c r="E50" s="5">
        <v>5</v>
      </c>
    </row>
  </sheetData>
  <mergeCells count="5">
    <mergeCell ref="A1:E1"/>
    <mergeCell ref="A2:E2"/>
    <mergeCell ref="A3:E3"/>
    <mergeCell ref="A4:E4"/>
    <mergeCell ref="A5:E5"/>
  </mergeCell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5B9BD5"/>
  </sheetPr>
  <dimension ref="A1:H35"/>
  <sheetViews>
    <sheetView showGridLines="0" workbookViewId="0">
      <pane ySplit="7" topLeftCell="A8" activePane="bottomLeft" state="frozen"/>
      <selection pane="bottomLeft" activeCell="C32" sqref="C32"/>
    </sheetView>
  </sheetViews>
  <sheetFormatPr defaultColWidth="15.08984375" defaultRowHeight="15.75" customHeight="1" x14ac:dyDescent="0.25"/>
  <cols>
    <col min="1" max="1" width="10.90625" customWidth="1"/>
    <col min="2" max="2" width="12.7265625" customWidth="1"/>
    <col min="3" max="3" width="16.36328125" customWidth="1"/>
    <col min="4" max="4" width="15.453125" customWidth="1"/>
    <col min="5" max="5" width="20" customWidth="1"/>
    <col min="6" max="6" width="21.81640625" customWidth="1"/>
    <col min="7" max="7" width="20.90625" customWidth="1"/>
    <col min="8" max="8" width="16.36328125" customWidth="1"/>
  </cols>
  <sheetData>
    <row r="1" spans="1:8" ht="23.5" x14ac:dyDescent="0.25">
      <c r="A1" s="11" t="s">
        <v>165</v>
      </c>
      <c r="B1" s="11"/>
      <c r="C1" s="11"/>
      <c r="D1" s="11"/>
      <c r="E1" s="11"/>
      <c r="F1" s="11"/>
      <c r="G1" s="11"/>
      <c r="H1" s="11"/>
    </row>
    <row r="2" spans="1:8" ht="13" x14ac:dyDescent="0.25">
      <c r="A2" s="12" t="s">
        <v>248</v>
      </c>
      <c r="B2" s="12"/>
      <c r="C2" s="12"/>
      <c r="D2" s="12"/>
      <c r="E2" s="12"/>
      <c r="F2" s="12"/>
      <c r="G2" s="12"/>
      <c r="H2" s="12"/>
    </row>
    <row r="3" spans="1:8" ht="13" x14ac:dyDescent="0.25">
      <c r="A3" s="14" t="s">
        <v>249</v>
      </c>
      <c r="B3" s="14"/>
      <c r="C3" s="14"/>
      <c r="D3" s="14"/>
      <c r="E3" s="14"/>
      <c r="F3" s="14"/>
      <c r="G3" s="14"/>
      <c r="H3" s="14"/>
    </row>
    <row r="4" spans="1:8" ht="13" x14ac:dyDescent="0.25">
      <c r="A4" s="14" t="s">
        <v>250</v>
      </c>
      <c r="B4" s="14"/>
      <c r="C4" s="14"/>
      <c r="D4" s="14"/>
      <c r="E4" s="14"/>
      <c r="F4" s="14"/>
      <c r="G4" s="14"/>
      <c r="H4" s="14"/>
    </row>
    <row r="5" spans="1:8" ht="13" x14ac:dyDescent="0.25">
      <c r="A5" s="14" t="s">
        <v>251</v>
      </c>
      <c r="B5" s="14"/>
      <c r="C5" s="14"/>
      <c r="D5" s="14"/>
      <c r="E5" s="14"/>
      <c r="F5" s="14"/>
      <c r="G5" s="14"/>
      <c r="H5" s="14"/>
    </row>
    <row r="6" spans="1:8" ht="13" x14ac:dyDescent="0.25">
      <c r="A6" s="2"/>
      <c r="B6" s="2"/>
      <c r="C6" s="2"/>
      <c r="D6" s="2"/>
      <c r="E6" s="2"/>
      <c r="F6" s="2"/>
      <c r="G6" s="2"/>
      <c r="H6" s="2"/>
    </row>
    <row r="7" spans="1:8" s="1" customFormat="1" ht="13" x14ac:dyDescent="0.25">
      <c r="A7" s="3" t="s">
        <v>120</v>
      </c>
      <c r="B7" s="3" t="s">
        <v>121</v>
      </c>
      <c r="C7" s="3" t="s">
        <v>122</v>
      </c>
      <c r="D7" s="3" t="s">
        <v>123</v>
      </c>
      <c r="E7" s="3" t="s">
        <v>132</v>
      </c>
      <c r="F7" s="3" t="s">
        <v>155</v>
      </c>
      <c r="G7" s="3" t="s">
        <v>156</v>
      </c>
      <c r="H7" s="3" t="s">
        <v>157</v>
      </c>
    </row>
    <row r="8" spans="1:8" ht="13" x14ac:dyDescent="0.25">
      <c r="A8" s="9">
        <v>2009</v>
      </c>
      <c r="B8" s="5">
        <v>12</v>
      </c>
      <c r="C8" s="2" t="s">
        <v>9</v>
      </c>
      <c r="D8" s="2" t="s">
        <v>10</v>
      </c>
      <c r="E8" s="30">
        <v>825685.76</v>
      </c>
      <c r="F8" s="30"/>
      <c r="G8" s="7"/>
      <c r="H8" s="32"/>
    </row>
    <row r="9" spans="1:8" ht="13" x14ac:dyDescent="0.25">
      <c r="A9" s="9">
        <v>2010</v>
      </c>
      <c r="B9" s="5">
        <v>1</v>
      </c>
      <c r="C9" s="2" t="s">
        <v>12</v>
      </c>
      <c r="D9" s="2" t="s">
        <v>13</v>
      </c>
      <c r="E9" s="30">
        <v>652708.5</v>
      </c>
      <c r="F9" s="30">
        <v>825685.76</v>
      </c>
      <c r="G9" s="7">
        <v>-172977.26</v>
      </c>
      <c r="H9" s="32">
        <v>-0.20949999999999999</v>
      </c>
    </row>
    <row r="10" spans="1:8" ht="13" x14ac:dyDescent="0.25">
      <c r="A10" s="9">
        <v>2010</v>
      </c>
      <c r="B10" s="5">
        <v>2</v>
      </c>
      <c r="C10" s="2" t="s">
        <v>14</v>
      </c>
      <c r="D10" s="2" t="s">
        <v>15</v>
      </c>
      <c r="E10" s="30">
        <v>553339.74</v>
      </c>
      <c r="F10" s="30">
        <v>652708.5</v>
      </c>
      <c r="G10" s="7">
        <v>-99368.77</v>
      </c>
      <c r="H10" s="32">
        <v>-0.1522</v>
      </c>
    </row>
    <row r="11" spans="1:8" ht="13" x14ac:dyDescent="0.25">
      <c r="A11" s="9">
        <v>2010</v>
      </c>
      <c r="B11" s="5">
        <v>3</v>
      </c>
      <c r="C11" s="2" t="s">
        <v>16</v>
      </c>
      <c r="D11" s="2" t="s">
        <v>17</v>
      </c>
      <c r="E11" s="30">
        <v>833570.13</v>
      </c>
      <c r="F11" s="30">
        <v>553339.74</v>
      </c>
      <c r="G11" s="7">
        <v>280230.40000000002</v>
      </c>
      <c r="H11" s="32">
        <v>0.50639999999999996</v>
      </c>
    </row>
    <row r="12" spans="1:8" ht="13" x14ac:dyDescent="0.25">
      <c r="A12" s="9">
        <v>2010</v>
      </c>
      <c r="B12" s="5">
        <v>4</v>
      </c>
      <c r="C12" s="2" t="s">
        <v>18</v>
      </c>
      <c r="D12" s="2" t="s">
        <v>19</v>
      </c>
      <c r="E12" s="30">
        <v>627934.63</v>
      </c>
      <c r="F12" s="30">
        <v>833570.13</v>
      </c>
      <c r="G12" s="7">
        <v>-205635.5</v>
      </c>
      <c r="H12" s="32">
        <v>-0.24670000000000003</v>
      </c>
    </row>
    <row r="13" spans="1:8" ht="13" x14ac:dyDescent="0.25">
      <c r="A13" s="9">
        <v>2010</v>
      </c>
      <c r="B13" s="5">
        <v>5</v>
      </c>
      <c r="C13" s="2" t="s">
        <v>20</v>
      </c>
      <c r="D13" s="2" t="s">
        <v>21</v>
      </c>
      <c r="E13" s="30">
        <v>659858.86</v>
      </c>
      <c r="F13" s="30">
        <v>627934.63</v>
      </c>
      <c r="G13" s="7">
        <v>31924.23</v>
      </c>
      <c r="H13" s="32">
        <v>5.0799999999999998E-2</v>
      </c>
    </row>
    <row r="14" spans="1:8" ht="13" x14ac:dyDescent="0.25">
      <c r="A14" s="9">
        <v>2010</v>
      </c>
      <c r="B14" s="5">
        <v>6</v>
      </c>
      <c r="C14" s="2" t="s">
        <v>22</v>
      </c>
      <c r="D14" s="2" t="s">
        <v>23</v>
      </c>
      <c r="E14" s="30">
        <v>752270.14</v>
      </c>
      <c r="F14" s="30">
        <v>659858.86</v>
      </c>
      <c r="G14" s="7">
        <v>92411.28</v>
      </c>
      <c r="H14" s="32">
        <v>0.14000000000000001</v>
      </c>
    </row>
    <row r="15" spans="1:8" ht="13" x14ac:dyDescent="0.25">
      <c r="A15" s="9">
        <v>2010</v>
      </c>
      <c r="B15" s="5">
        <v>7</v>
      </c>
      <c r="C15" s="2" t="s">
        <v>24</v>
      </c>
      <c r="D15" s="2" t="s">
        <v>25</v>
      </c>
      <c r="E15" s="30">
        <v>606681.15</v>
      </c>
      <c r="F15" s="30">
        <v>752270.14</v>
      </c>
      <c r="G15" s="7">
        <v>-145588.99</v>
      </c>
      <c r="H15" s="32">
        <v>-0.19350000000000001</v>
      </c>
    </row>
    <row r="16" spans="1:8" ht="13" x14ac:dyDescent="0.25">
      <c r="A16" s="9">
        <v>2010</v>
      </c>
      <c r="B16" s="5">
        <v>8</v>
      </c>
      <c r="C16" s="2" t="s">
        <v>26</v>
      </c>
      <c r="D16" s="2" t="s">
        <v>27</v>
      </c>
      <c r="E16" s="30">
        <v>697274.91</v>
      </c>
      <c r="F16" s="30">
        <v>606681.15</v>
      </c>
      <c r="G16" s="7">
        <v>90593.76</v>
      </c>
      <c r="H16" s="32">
        <v>0.14929999999999999</v>
      </c>
    </row>
    <row r="17" spans="1:8" ht="13" x14ac:dyDescent="0.25">
      <c r="A17" s="9">
        <v>2010</v>
      </c>
      <c r="B17" s="5">
        <v>9</v>
      </c>
      <c r="C17" s="2" t="s">
        <v>28</v>
      </c>
      <c r="D17" s="2" t="s">
        <v>29</v>
      </c>
      <c r="E17" s="30">
        <v>924333.01</v>
      </c>
      <c r="F17" s="30">
        <v>697274.91</v>
      </c>
      <c r="G17" s="7">
        <v>227058.1</v>
      </c>
      <c r="H17" s="32">
        <v>0.3256</v>
      </c>
    </row>
    <row r="18" spans="1:8" ht="13" x14ac:dyDescent="0.25">
      <c r="A18" s="9">
        <v>2010</v>
      </c>
      <c r="B18" s="5">
        <v>10</v>
      </c>
      <c r="C18" s="2" t="s">
        <v>30</v>
      </c>
      <c r="D18" s="2" t="s">
        <v>31</v>
      </c>
      <c r="E18" s="30">
        <v>1126558.04</v>
      </c>
      <c r="F18" s="30">
        <v>924333.01</v>
      </c>
      <c r="G18" s="7">
        <v>202225.03</v>
      </c>
      <c r="H18" s="32">
        <v>0.21879999999999999</v>
      </c>
    </row>
    <row r="19" spans="1:8" ht="13" x14ac:dyDescent="0.25">
      <c r="A19" s="9">
        <v>2010</v>
      </c>
      <c r="B19" s="5">
        <v>11</v>
      </c>
      <c r="C19" s="2" t="s">
        <v>33</v>
      </c>
      <c r="D19" s="2" t="s">
        <v>34</v>
      </c>
      <c r="E19" s="30">
        <v>1470272.48</v>
      </c>
      <c r="F19" s="30">
        <v>1126558.04</v>
      </c>
      <c r="G19" s="7">
        <v>343714.44</v>
      </c>
      <c r="H19" s="32">
        <v>0.30510000000000004</v>
      </c>
    </row>
    <row r="20" spans="1:8" ht="13" x14ac:dyDescent="0.25">
      <c r="A20" s="9">
        <v>2010</v>
      </c>
      <c r="B20" s="5">
        <v>12</v>
      </c>
      <c r="C20" s="2" t="s">
        <v>9</v>
      </c>
      <c r="D20" s="2" t="s">
        <v>37</v>
      </c>
      <c r="E20" s="30">
        <v>1262598.79</v>
      </c>
      <c r="F20" s="30">
        <v>1470272.48</v>
      </c>
      <c r="G20" s="7">
        <v>-207673.69</v>
      </c>
      <c r="H20" s="32">
        <v>-0.14119999999999999</v>
      </c>
    </row>
    <row r="21" spans="1:8" ht="13" x14ac:dyDescent="0.25">
      <c r="A21" s="9">
        <v>2011</v>
      </c>
      <c r="B21" s="5">
        <v>1</v>
      </c>
      <c r="C21" s="2" t="s">
        <v>12</v>
      </c>
      <c r="D21" s="2" t="s">
        <v>39</v>
      </c>
      <c r="E21" s="30">
        <v>691364.56</v>
      </c>
      <c r="F21" s="30">
        <v>1262598.79</v>
      </c>
      <c r="G21" s="7">
        <v>-571234.23</v>
      </c>
      <c r="H21" s="32">
        <v>-0.45240000000000002</v>
      </c>
    </row>
    <row r="22" spans="1:8" ht="13" x14ac:dyDescent="0.25">
      <c r="A22" s="9">
        <v>2011</v>
      </c>
      <c r="B22" s="5">
        <v>2</v>
      </c>
      <c r="C22" s="2" t="s">
        <v>14</v>
      </c>
      <c r="D22" s="2" t="s">
        <v>41</v>
      </c>
      <c r="E22" s="30">
        <v>523631.89</v>
      </c>
      <c r="F22" s="30">
        <v>691364.56</v>
      </c>
      <c r="G22" s="7">
        <v>-167732.67000000001</v>
      </c>
      <c r="H22" s="32">
        <v>-0.24260000000000001</v>
      </c>
    </row>
    <row r="23" spans="1:8" ht="13" x14ac:dyDescent="0.25">
      <c r="A23" s="9">
        <v>2011</v>
      </c>
      <c r="B23" s="5">
        <v>3</v>
      </c>
      <c r="C23" s="2" t="s">
        <v>16</v>
      </c>
      <c r="D23" s="2" t="s">
        <v>43</v>
      </c>
      <c r="E23" s="30">
        <v>717639.36</v>
      </c>
      <c r="F23" s="30">
        <v>523631.89</v>
      </c>
      <c r="G23" s="7">
        <v>194007.47</v>
      </c>
      <c r="H23" s="32">
        <v>0.3705</v>
      </c>
    </row>
    <row r="24" spans="1:8" ht="13" x14ac:dyDescent="0.25">
      <c r="A24" s="9">
        <v>2011</v>
      </c>
      <c r="B24" s="5">
        <v>4</v>
      </c>
      <c r="C24" s="2" t="s">
        <v>18</v>
      </c>
      <c r="D24" s="2" t="s">
        <v>46</v>
      </c>
      <c r="E24" s="30">
        <v>537808.62</v>
      </c>
      <c r="F24" s="30">
        <v>717639.36</v>
      </c>
      <c r="G24" s="7">
        <v>-179830.74</v>
      </c>
      <c r="H24" s="32">
        <v>-0.25059999999999999</v>
      </c>
    </row>
    <row r="25" spans="1:8" ht="13" x14ac:dyDescent="0.25">
      <c r="A25" s="9">
        <v>2011</v>
      </c>
      <c r="B25" s="5">
        <v>5</v>
      </c>
      <c r="C25" s="2" t="s">
        <v>20</v>
      </c>
      <c r="D25" s="2" t="s">
        <v>51</v>
      </c>
      <c r="E25" s="30">
        <v>770536.02</v>
      </c>
      <c r="F25" s="30">
        <v>537808.62</v>
      </c>
      <c r="G25" s="7">
        <v>232727.4</v>
      </c>
      <c r="H25" s="32">
        <v>0.43270000000000003</v>
      </c>
    </row>
    <row r="26" spans="1:8" ht="13" x14ac:dyDescent="0.25">
      <c r="A26" s="9">
        <v>2011</v>
      </c>
      <c r="B26" s="5">
        <v>6</v>
      </c>
      <c r="C26" s="2" t="s">
        <v>22</v>
      </c>
      <c r="D26" s="2" t="s">
        <v>53</v>
      </c>
      <c r="E26" s="30">
        <v>761739.9</v>
      </c>
      <c r="F26" s="30">
        <v>770536.02</v>
      </c>
      <c r="G26" s="7">
        <v>-8796.1200000000008</v>
      </c>
      <c r="H26" s="32">
        <v>-1.1399999999999999E-2</v>
      </c>
    </row>
    <row r="27" spans="1:8" ht="13" x14ac:dyDescent="0.25">
      <c r="A27" s="9">
        <v>2011</v>
      </c>
      <c r="B27" s="5">
        <v>7</v>
      </c>
      <c r="C27" s="2" t="s">
        <v>24</v>
      </c>
      <c r="D27" s="2" t="s">
        <v>57</v>
      </c>
      <c r="E27" s="30">
        <v>719221.19</v>
      </c>
      <c r="F27" s="30">
        <v>761739.9</v>
      </c>
      <c r="G27" s="7">
        <v>-42518.71</v>
      </c>
      <c r="H27" s="32">
        <v>-5.5800000000000002E-2</v>
      </c>
    </row>
    <row r="28" spans="1:8" ht="13" x14ac:dyDescent="0.25">
      <c r="A28" s="9">
        <v>2011</v>
      </c>
      <c r="B28" s="5">
        <v>8</v>
      </c>
      <c r="C28" s="2" t="s">
        <v>26</v>
      </c>
      <c r="D28" s="2" t="s">
        <v>59</v>
      </c>
      <c r="E28" s="30">
        <v>737014.26</v>
      </c>
      <c r="F28" s="30">
        <v>719221.19</v>
      </c>
      <c r="G28" s="7">
        <v>17793.07</v>
      </c>
      <c r="H28" s="32">
        <v>2.4700000000000003E-2</v>
      </c>
    </row>
    <row r="29" spans="1:8" ht="13" x14ac:dyDescent="0.25">
      <c r="A29" s="9">
        <v>2011</v>
      </c>
      <c r="B29" s="5">
        <v>9</v>
      </c>
      <c r="C29" s="2" t="s">
        <v>28</v>
      </c>
      <c r="D29" s="2" t="s">
        <v>61</v>
      </c>
      <c r="E29" s="30">
        <v>1058590.17</v>
      </c>
      <c r="F29" s="30">
        <v>737014.26</v>
      </c>
      <c r="G29" s="7">
        <v>321575.90999999997</v>
      </c>
      <c r="H29" s="32">
        <v>0.43630000000000002</v>
      </c>
    </row>
    <row r="30" spans="1:8" ht="13" x14ac:dyDescent="0.25">
      <c r="A30" s="9">
        <v>2011</v>
      </c>
      <c r="B30" s="5">
        <v>10</v>
      </c>
      <c r="C30" s="2" t="s">
        <v>30</v>
      </c>
      <c r="D30" s="2" t="s">
        <v>63</v>
      </c>
      <c r="E30" s="30">
        <v>1154979.3</v>
      </c>
      <c r="F30" s="30">
        <v>1058590.17</v>
      </c>
      <c r="G30" s="7">
        <v>96389.13</v>
      </c>
      <c r="H30" s="32">
        <v>9.11E-2</v>
      </c>
    </row>
    <row r="31" spans="1:8" ht="13" x14ac:dyDescent="0.25">
      <c r="A31" s="9">
        <v>2011</v>
      </c>
      <c r="B31" s="5">
        <v>11</v>
      </c>
      <c r="C31" s="2" t="s">
        <v>33</v>
      </c>
      <c r="D31" s="2" t="s">
        <v>65</v>
      </c>
      <c r="E31" s="30">
        <v>1509496.33</v>
      </c>
      <c r="F31" s="30">
        <v>1154979.3</v>
      </c>
      <c r="G31" s="7">
        <v>354517.03</v>
      </c>
      <c r="H31" s="32">
        <v>0.30690000000000001</v>
      </c>
    </row>
    <row r="32" spans="1:8" ht="13" x14ac:dyDescent="0.25">
      <c r="A32" s="9">
        <v>2011</v>
      </c>
      <c r="B32" s="5">
        <v>12</v>
      </c>
      <c r="C32" s="2" t="s">
        <v>9</v>
      </c>
      <c r="D32" s="2" t="s">
        <v>67</v>
      </c>
      <c r="E32" s="30">
        <v>638810.68000000005</v>
      </c>
      <c r="F32" s="30">
        <v>1509496.33</v>
      </c>
      <c r="G32" s="7">
        <v>-870685.65</v>
      </c>
      <c r="H32" s="32">
        <v>-0.57679999999999998</v>
      </c>
    </row>
    <row r="34" spans="1:8" ht="24" customHeight="1" x14ac:dyDescent="0.25">
      <c r="A34" s="18" t="s">
        <v>486</v>
      </c>
      <c r="B34" s="18"/>
      <c r="C34" s="18"/>
      <c r="D34" s="18"/>
      <c r="E34" s="18"/>
      <c r="F34" s="18"/>
      <c r="G34" s="18"/>
      <c r="H34" s="18"/>
    </row>
    <row r="35" spans="1:8" ht="24" customHeight="1" x14ac:dyDescent="0.25">
      <c r="A35" s="18"/>
      <c r="B35" s="18"/>
      <c r="C35" s="18"/>
      <c r="D35" s="18"/>
      <c r="E35" s="18"/>
      <c r="F35" s="18"/>
      <c r="G35" s="18"/>
      <c r="H35" s="18"/>
    </row>
  </sheetData>
  <mergeCells count="6">
    <mergeCell ref="A34:H35"/>
    <mergeCell ref="A1:H1"/>
    <mergeCell ref="A2:H2"/>
    <mergeCell ref="A3:H3"/>
    <mergeCell ref="A4:H4"/>
    <mergeCell ref="A5:H5"/>
  </mergeCell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5B9BD5"/>
  </sheetPr>
  <dimension ref="A1:F32"/>
  <sheetViews>
    <sheetView showGridLines="0" workbookViewId="0">
      <pane ySplit="7" topLeftCell="A8" activePane="bottomLeft" state="frozen"/>
      <selection pane="bottomLeft" activeCell="C13" sqref="C13"/>
    </sheetView>
  </sheetViews>
  <sheetFormatPr defaultColWidth="15.08984375" defaultRowHeight="15.75" customHeight="1" x14ac:dyDescent="0.25"/>
  <cols>
    <col min="1" max="1" width="10.90625" customWidth="1"/>
    <col min="2" max="2" width="12.7265625" customWidth="1"/>
    <col min="3" max="3" width="16.36328125" customWidth="1"/>
    <col min="4" max="4" width="15.453125" customWidth="1"/>
    <col min="5" max="5" width="20.90625" customWidth="1"/>
    <col min="6" max="6" width="24.54296875" customWidth="1"/>
  </cols>
  <sheetData>
    <row r="1" spans="1:6" ht="23.5" x14ac:dyDescent="0.25">
      <c r="A1" s="11" t="s">
        <v>158</v>
      </c>
      <c r="B1" s="11"/>
      <c r="C1" s="11"/>
      <c r="D1" s="11"/>
      <c r="E1" s="11"/>
      <c r="F1" s="11"/>
    </row>
    <row r="2" spans="1:6" ht="13" x14ac:dyDescent="0.25">
      <c r="A2" s="12" t="s">
        <v>252</v>
      </c>
      <c r="B2" s="12"/>
      <c r="C2" s="12"/>
      <c r="D2" s="12"/>
      <c r="E2" s="12"/>
      <c r="F2" s="12"/>
    </row>
    <row r="3" spans="1:6" ht="13" x14ac:dyDescent="0.25">
      <c r="A3" s="14" t="s">
        <v>253</v>
      </c>
      <c r="B3" s="14"/>
      <c r="C3" s="14"/>
      <c r="D3" s="14"/>
      <c r="E3" s="14"/>
      <c r="F3" s="14"/>
    </row>
    <row r="4" spans="1:6" ht="13" x14ac:dyDescent="0.25">
      <c r="A4" s="14" t="s">
        <v>254</v>
      </c>
      <c r="B4" s="14"/>
      <c r="C4" s="14"/>
      <c r="D4" s="14"/>
      <c r="E4" s="14"/>
      <c r="F4" s="14"/>
    </row>
    <row r="5" spans="1:6" ht="13" x14ac:dyDescent="0.25">
      <c r="A5" s="14" t="s">
        <v>255</v>
      </c>
      <c r="B5" s="14"/>
      <c r="C5" s="14"/>
      <c r="D5" s="14"/>
      <c r="E5" s="14"/>
      <c r="F5" s="14"/>
    </row>
    <row r="6" spans="1:6" ht="13" x14ac:dyDescent="0.25">
      <c r="A6" s="2"/>
      <c r="B6" s="2"/>
      <c r="C6" s="2"/>
      <c r="D6" s="2"/>
      <c r="E6" s="2"/>
      <c r="F6" s="2"/>
    </row>
    <row r="7" spans="1:6" s="1" customFormat="1" ht="13" x14ac:dyDescent="0.25">
      <c r="A7" s="3" t="s">
        <v>120</v>
      </c>
      <c r="B7" s="3" t="s">
        <v>121</v>
      </c>
      <c r="C7" s="3" t="s">
        <v>122</v>
      </c>
      <c r="D7" s="3" t="s">
        <v>123</v>
      </c>
      <c r="E7" s="3" t="s">
        <v>132</v>
      </c>
      <c r="F7" s="3" t="s">
        <v>159</v>
      </c>
    </row>
    <row r="8" spans="1:6" ht="13" x14ac:dyDescent="0.25">
      <c r="A8" s="9">
        <v>2009</v>
      </c>
      <c r="B8" s="5">
        <v>12</v>
      </c>
      <c r="C8" s="2" t="s">
        <v>9</v>
      </c>
      <c r="D8" s="2" t="s">
        <v>10</v>
      </c>
      <c r="E8" s="30">
        <v>825685.76</v>
      </c>
      <c r="F8" s="7">
        <v>825685.76</v>
      </c>
    </row>
    <row r="9" spans="1:6" ht="13" x14ac:dyDescent="0.25">
      <c r="A9" s="9">
        <v>2010</v>
      </c>
      <c r="B9" s="5">
        <v>1</v>
      </c>
      <c r="C9" s="2" t="s">
        <v>12</v>
      </c>
      <c r="D9" s="2" t="s">
        <v>13</v>
      </c>
      <c r="E9" s="30">
        <v>652708.5</v>
      </c>
      <c r="F9" s="7">
        <v>739197.13</v>
      </c>
    </row>
    <row r="10" spans="1:6" ht="13" x14ac:dyDescent="0.25">
      <c r="A10" s="9">
        <v>2010</v>
      </c>
      <c r="B10" s="5">
        <v>2</v>
      </c>
      <c r="C10" s="2" t="s">
        <v>14</v>
      </c>
      <c r="D10" s="2" t="s">
        <v>15</v>
      </c>
      <c r="E10" s="30">
        <v>553339.74</v>
      </c>
      <c r="F10" s="7">
        <v>677244.67</v>
      </c>
    </row>
    <row r="11" spans="1:6" ht="13" x14ac:dyDescent="0.25">
      <c r="A11" s="9">
        <v>2010</v>
      </c>
      <c r="B11" s="5">
        <v>3</v>
      </c>
      <c r="C11" s="2" t="s">
        <v>16</v>
      </c>
      <c r="D11" s="2" t="s">
        <v>17</v>
      </c>
      <c r="E11" s="30">
        <v>833570.13</v>
      </c>
      <c r="F11" s="7">
        <v>679872.79</v>
      </c>
    </row>
    <row r="12" spans="1:6" ht="13" x14ac:dyDescent="0.25">
      <c r="A12" s="9">
        <v>2010</v>
      </c>
      <c r="B12" s="5">
        <v>4</v>
      </c>
      <c r="C12" s="2" t="s">
        <v>18</v>
      </c>
      <c r="D12" s="2" t="s">
        <v>19</v>
      </c>
      <c r="E12" s="30">
        <v>627934.63</v>
      </c>
      <c r="F12" s="7">
        <v>671614.83</v>
      </c>
    </row>
    <row r="13" spans="1:6" ht="13" x14ac:dyDescent="0.25">
      <c r="A13" s="9">
        <v>2010</v>
      </c>
      <c r="B13" s="5">
        <v>5</v>
      </c>
      <c r="C13" s="2" t="s">
        <v>20</v>
      </c>
      <c r="D13" s="2" t="s">
        <v>21</v>
      </c>
      <c r="E13" s="30">
        <v>659858.86</v>
      </c>
      <c r="F13" s="7">
        <v>707121.21</v>
      </c>
    </row>
    <row r="14" spans="1:6" ht="13" x14ac:dyDescent="0.25">
      <c r="A14" s="9">
        <v>2010</v>
      </c>
      <c r="B14" s="5">
        <v>6</v>
      </c>
      <c r="C14" s="2" t="s">
        <v>22</v>
      </c>
      <c r="D14" s="2" t="s">
        <v>23</v>
      </c>
      <c r="E14" s="30">
        <v>752270.14</v>
      </c>
      <c r="F14" s="7">
        <v>680021.21</v>
      </c>
    </row>
    <row r="15" spans="1:6" ht="13" x14ac:dyDescent="0.25">
      <c r="A15" s="9">
        <v>2010</v>
      </c>
      <c r="B15" s="5">
        <v>7</v>
      </c>
      <c r="C15" s="2" t="s">
        <v>24</v>
      </c>
      <c r="D15" s="2" t="s">
        <v>25</v>
      </c>
      <c r="E15" s="30">
        <v>606681.15</v>
      </c>
      <c r="F15" s="7">
        <v>672936.72</v>
      </c>
    </row>
    <row r="16" spans="1:6" ht="13" x14ac:dyDescent="0.25">
      <c r="A16" s="9">
        <v>2010</v>
      </c>
      <c r="B16" s="5">
        <v>8</v>
      </c>
      <c r="C16" s="2" t="s">
        <v>26</v>
      </c>
      <c r="D16" s="2" t="s">
        <v>27</v>
      </c>
      <c r="E16" s="30">
        <v>697274.91</v>
      </c>
      <c r="F16" s="7">
        <v>685408.73</v>
      </c>
    </row>
    <row r="17" spans="1:6" ht="13" x14ac:dyDescent="0.25">
      <c r="A17" s="9">
        <v>2010</v>
      </c>
      <c r="B17" s="5">
        <v>9</v>
      </c>
      <c r="C17" s="2" t="s">
        <v>28</v>
      </c>
      <c r="D17" s="2" t="s">
        <v>29</v>
      </c>
      <c r="E17" s="30">
        <v>924333.01</v>
      </c>
      <c r="F17" s="7">
        <v>742763.02</v>
      </c>
    </row>
    <row r="18" spans="1:6" ht="13" x14ac:dyDescent="0.25">
      <c r="A18" s="9">
        <v>2010</v>
      </c>
      <c r="B18" s="5">
        <v>10</v>
      </c>
      <c r="C18" s="2" t="s">
        <v>30</v>
      </c>
      <c r="D18" s="2" t="s">
        <v>31</v>
      </c>
      <c r="E18" s="30">
        <v>1126558.04</v>
      </c>
      <c r="F18" s="7">
        <v>916055.32</v>
      </c>
    </row>
    <row r="19" spans="1:6" ht="13" x14ac:dyDescent="0.25">
      <c r="A19" s="9">
        <v>2010</v>
      </c>
      <c r="B19" s="5">
        <v>11</v>
      </c>
      <c r="C19" s="2" t="s">
        <v>33</v>
      </c>
      <c r="D19" s="2" t="s">
        <v>34</v>
      </c>
      <c r="E19" s="30">
        <v>1470272.48</v>
      </c>
      <c r="F19" s="7">
        <v>1173721.18</v>
      </c>
    </row>
    <row r="20" spans="1:6" ht="13" x14ac:dyDescent="0.25">
      <c r="A20" s="9">
        <v>2010</v>
      </c>
      <c r="B20" s="5">
        <v>12</v>
      </c>
      <c r="C20" s="2" t="s">
        <v>9</v>
      </c>
      <c r="D20" s="2" t="s">
        <v>37</v>
      </c>
      <c r="E20" s="30">
        <v>1262598.79</v>
      </c>
      <c r="F20" s="7">
        <v>1286476.44</v>
      </c>
    </row>
    <row r="21" spans="1:6" ht="13" x14ac:dyDescent="0.25">
      <c r="A21" s="9">
        <v>2011</v>
      </c>
      <c r="B21" s="5">
        <v>1</v>
      </c>
      <c r="C21" s="2" t="s">
        <v>12</v>
      </c>
      <c r="D21" s="2" t="s">
        <v>39</v>
      </c>
      <c r="E21" s="30">
        <v>691364.56</v>
      </c>
      <c r="F21" s="7">
        <v>1141411.94</v>
      </c>
    </row>
    <row r="22" spans="1:6" ht="13" x14ac:dyDescent="0.25">
      <c r="A22" s="9">
        <v>2011</v>
      </c>
      <c r="B22" s="5">
        <v>2</v>
      </c>
      <c r="C22" s="2" t="s">
        <v>14</v>
      </c>
      <c r="D22" s="2" t="s">
        <v>41</v>
      </c>
      <c r="E22" s="30">
        <v>523631.89</v>
      </c>
      <c r="F22" s="7">
        <v>825865.08</v>
      </c>
    </row>
    <row r="23" spans="1:6" ht="13" x14ac:dyDescent="0.25">
      <c r="A23" s="9">
        <v>2011</v>
      </c>
      <c r="B23" s="5">
        <v>3</v>
      </c>
      <c r="C23" s="2" t="s">
        <v>16</v>
      </c>
      <c r="D23" s="2" t="s">
        <v>43</v>
      </c>
      <c r="E23" s="30">
        <v>717639.36</v>
      </c>
      <c r="F23" s="7">
        <v>644211.93999999994</v>
      </c>
    </row>
    <row r="24" spans="1:6" ht="13" x14ac:dyDescent="0.25">
      <c r="A24" s="9">
        <v>2011</v>
      </c>
      <c r="B24" s="5">
        <v>4</v>
      </c>
      <c r="C24" s="2" t="s">
        <v>18</v>
      </c>
      <c r="D24" s="2" t="s">
        <v>46</v>
      </c>
      <c r="E24" s="30">
        <v>537808.62</v>
      </c>
      <c r="F24" s="7">
        <v>593026.62</v>
      </c>
    </row>
    <row r="25" spans="1:6" ht="13" x14ac:dyDescent="0.25">
      <c r="A25" s="9">
        <v>2011</v>
      </c>
      <c r="B25" s="5">
        <v>5</v>
      </c>
      <c r="C25" s="2" t="s">
        <v>20</v>
      </c>
      <c r="D25" s="2" t="s">
        <v>51</v>
      </c>
      <c r="E25" s="30">
        <v>770536.02</v>
      </c>
      <c r="F25" s="7">
        <v>675328</v>
      </c>
    </row>
    <row r="26" spans="1:6" ht="13" x14ac:dyDescent="0.25">
      <c r="A26" s="9">
        <v>2011</v>
      </c>
      <c r="B26" s="5">
        <v>6</v>
      </c>
      <c r="C26" s="2" t="s">
        <v>22</v>
      </c>
      <c r="D26" s="2" t="s">
        <v>53</v>
      </c>
      <c r="E26" s="30">
        <v>761739.9</v>
      </c>
      <c r="F26" s="7">
        <v>690028.18</v>
      </c>
    </row>
    <row r="27" spans="1:6" ht="13" x14ac:dyDescent="0.25">
      <c r="A27" s="9">
        <v>2011</v>
      </c>
      <c r="B27" s="5">
        <v>7</v>
      </c>
      <c r="C27" s="2" t="s">
        <v>24</v>
      </c>
      <c r="D27" s="2" t="s">
        <v>57</v>
      </c>
      <c r="E27" s="30">
        <v>719221.19</v>
      </c>
      <c r="F27" s="7">
        <v>750499.04</v>
      </c>
    </row>
    <row r="28" spans="1:6" ht="13" x14ac:dyDescent="0.25">
      <c r="A28" s="9">
        <v>2011</v>
      </c>
      <c r="B28" s="5">
        <v>8</v>
      </c>
      <c r="C28" s="2" t="s">
        <v>26</v>
      </c>
      <c r="D28" s="2" t="s">
        <v>59</v>
      </c>
      <c r="E28" s="30">
        <v>737014.26</v>
      </c>
      <c r="F28" s="7">
        <v>739325.12</v>
      </c>
    </row>
    <row r="29" spans="1:6" ht="13" x14ac:dyDescent="0.25">
      <c r="A29" s="9">
        <v>2011</v>
      </c>
      <c r="B29" s="5">
        <v>9</v>
      </c>
      <c r="C29" s="2" t="s">
        <v>28</v>
      </c>
      <c r="D29" s="2" t="s">
        <v>61</v>
      </c>
      <c r="E29" s="30">
        <v>1058590.17</v>
      </c>
      <c r="F29" s="7">
        <v>838275.21</v>
      </c>
    </row>
    <row r="30" spans="1:6" ht="13" x14ac:dyDescent="0.25">
      <c r="A30" s="9">
        <v>2011</v>
      </c>
      <c r="B30" s="5">
        <v>10</v>
      </c>
      <c r="C30" s="2" t="s">
        <v>30</v>
      </c>
      <c r="D30" s="2" t="s">
        <v>63</v>
      </c>
      <c r="E30" s="30">
        <v>1154979.3</v>
      </c>
      <c r="F30" s="7">
        <v>983527.91</v>
      </c>
    </row>
    <row r="31" spans="1:6" ht="13" x14ac:dyDescent="0.25">
      <c r="A31" s="9">
        <v>2011</v>
      </c>
      <c r="B31" s="5">
        <v>11</v>
      </c>
      <c r="C31" s="2" t="s">
        <v>33</v>
      </c>
      <c r="D31" s="2" t="s">
        <v>65</v>
      </c>
      <c r="E31" s="30">
        <v>1509496.33</v>
      </c>
      <c r="F31" s="7">
        <v>1241021.93</v>
      </c>
    </row>
    <row r="32" spans="1:6" ht="13" x14ac:dyDescent="0.25">
      <c r="A32" s="9">
        <v>2011</v>
      </c>
      <c r="B32" s="5">
        <v>12</v>
      </c>
      <c r="C32" s="2" t="s">
        <v>9</v>
      </c>
      <c r="D32" s="2" t="s">
        <v>67</v>
      </c>
      <c r="E32" s="30">
        <v>638810.68000000005</v>
      </c>
      <c r="F32" s="7">
        <v>1101095.44</v>
      </c>
    </row>
  </sheetData>
  <mergeCells count="5">
    <mergeCell ref="A1:F1"/>
    <mergeCell ref="A2:F2"/>
    <mergeCell ref="A3:F3"/>
    <mergeCell ref="A4:F4"/>
    <mergeCell ref="A5:F5"/>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00_Cover</vt:lpstr>
      <vt:lpstr>01_Executive_Summary</vt:lpstr>
      <vt:lpstr>02_Workbook_Index</vt:lpstr>
      <vt:lpstr>03_Data_Model_And_Architecture</vt:lpstr>
      <vt:lpstr>04_Metric_Dictionary</vt:lpstr>
      <vt:lpstr>05_Validation_Summary</vt:lpstr>
      <vt:lpstr>06_Power_BI_Handoff</vt:lpstr>
      <vt:lpstr>DQ01_Raw_Profile</vt:lpstr>
      <vt:lpstr>DQ02_Row_Reconciliation</vt:lpstr>
      <vt:lpstr>DQ03_Revenue_Reconciliation</vt:lpstr>
      <vt:lpstr>DQ04_Orphan_Key_Check</vt:lpstr>
      <vt:lpstr>DQ05_Cancellation_Profile</vt:lpstr>
      <vt:lpstr>Q01_Monthly_Revenue</vt:lpstr>
      <vt:lpstr>Q02_Top_Customers</vt:lpstr>
      <vt:lpstr>Q03_Product_Category</vt:lpstr>
      <vt:lpstr>Q04_Country_Performance</vt:lpstr>
      <vt:lpstr>Q05_Cancellation_Analysis</vt:lpstr>
      <vt:lpstr>Q06_Running_Revenue</vt:lpstr>
      <vt:lpstr>Q07_Customer_Cohorts</vt:lpstr>
      <vt:lpstr>Q08_Regional_Ranking</vt:lpstr>
      <vt:lpstr>Q09_MoM_Growth</vt:lpstr>
      <vt:lpstr>Q10_Rolling_Revenue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Joy Lorna</cp:lastModifiedBy>
  <dcterms:created xsi:type="dcterms:W3CDTF">2026-08-17T15:26:38Z</dcterms:created>
  <dcterms:modified xsi:type="dcterms:W3CDTF">2026-08-27T20:58:59Z</dcterms:modified>
</cp:coreProperties>
</file>